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.E\"/>
    </mc:Choice>
  </mc:AlternateContent>
  <bookViews>
    <workbookView xWindow="0" yWindow="0" windowWidth="24000" windowHeight="9630" activeTab="5"/>
  </bookViews>
  <sheets>
    <sheet name="Summary Sheet" sheetId="8" r:id="rId1"/>
    <sheet name="Engg Mathematics" sheetId="3" r:id="rId2"/>
    <sheet name="Engg. Physics" sheetId="4" r:id="rId3"/>
    <sheet name="Basic Electrical" sheetId="5" r:id="rId4"/>
    <sheet name="Engg. Mechanics" sheetId="6" r:id="rId5"/>
    <sheet name="FPL" sheetId="7" r:id="rId6"/>
  </sheets>
  <definedNames>
    <definedName name="_xlnm.Print_Titles" localSheetId="3">'Basic Electrical'!$8:$12</definedName>
    <definedName name="_xlnm.Print_Titles" localSheetId="1">'Engg Mathematics'!$8:$12</definedName>
    <definedName name="_xlnm.Print_Titles" localSheetId="4">'Engg. Mechanics'!$8:$12</definedName>
    <definedName name="_xlnm.Print_Titles" localSheetId="2">'Engg. Physics'!$8:$12</definedName>
    <definedName name="_xlnm.Print_Titles" localSheetId="5">FPL!$8:$12</definedName>
    <definedName name="_xlnm.Print_Titles" localSheetId="0">'Summary Sheet'!$8:$11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7" l="1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B13" i="7"/>
  <c r="A13" i="7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B13" i="6"/>
  <c r="A13" i="6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B13" i="5"/>
  <c r="A13" i="5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B13" i="4"/>
  <c r="A13" i="4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B13" i="3"/>
  <c r="A13" i="3"/>
  <c r="H76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12" i="8"/>
  <c r="D15" i="8"/>
  <c r="G15" i="8"/>
  <c r="D18" i="8"/>
  <c r="E19" i="8"/>
  <c r="D21" i="8"/>
  <c r="F21" i="8"/>
  <c r="G23" i="8"/>
  <c r="D24" i="8"/>
  <c r="D27" i="8"/>
  <c r="D30" i="8"/>
  <c r="G32" i="8"/>
  <c r="D33" i="8"/>
  <c r="D36" i="8"/>
  <c r="E37" i="8"/>
  <c r="D39" i="8"/>
  <c r="G40" i="8"/>
  <c r="D42" i="8"/>
  <c r="G44" i="8"/>
  <c r="D45" i="8"/>
  <c r="D48" i="8"/>
  <c r="G49" i="8"/>
  <c r="D51" i="8"/>
  <c r="G53" i="8"/>
  <c r="D54" i="8"/>
  <c r="E55" i="8"/>
  <c r="D57" i="8"/>
  <c r="D60" i="8"/>
  <c r="G61" i="8"/>
  <c r="D63" i="8"/>
  <c r="D65" i="8"/>
  <c r="E66" i="8"/>
  <c r="D75" i="8"/>
  <c r="G75" i="8"/>
  <c r="D77" i="8"/>
  <c r="C14" i="8"/>
  <c r="C26" i="8"/>
  <c r="C38" i="8"/>
  <c r="C51" i="8"/>
  <c r="C63" i="8"/>
  <c r="C75" i="8"/>
  <c r="H81" i="7"/>
  <c r="G80" i="8" s="1"/>
  <c r="H80" i="7"/>
  <c r="G79" i="8" s="1"/>
  <c r="H79" i="7"/>
  <c r="G78" i="8" s="1"/>
  <c r="H78" i="7"/>
  <c r="G77" i="8" s="1"/>
  <c r="H77" i="7"/>
  <c r="G76" i="8" s="1"/>
  <c r="H76" i="7"/>
  <c r="H75" i="7"/>
  <c r="G74" i="8" s="1"/>
  <c r="H74" i="7"/>
  <c r="G73" i="8" s="1"/>
  <c r="H73" i="7"/>
  <c r="G72" i="8" s="1"/>
  <c r="H72" i="7"/>
  <c r="G71" i="8" s="1"/>
  <c r="H71" i="7"/>
  <c r="G70" i="8" s="1"/>
  <c r="H70" i="7"/>
  <c r="G69" i="8" s="1"/>
  <c r="H69" i="7"/>
  <c r="G68" i="8" s="1"/>
  <c r="H68" i="7"/>
  <c r="G67" i="8" s="1"/>
  <c r="H67" i="7"/>
  <c r="G66" i="8" s="1"/>
  <c r="H66" i="7"/>
  <c r="G65" i="8" s="1"/>
  <c r="H65" i="7"/>
  <c r="G64" i="8" s="1"/>
  <c r="H64" i="7"/>
  <c r="G63" i="8" s="1"/>
  <c r="H63" i="7"/>
  <c r="G62" i="8" s="1"/>
  <c r="H62" i="7"/>
  <c r="H61" i="7"/>
  <c r="G60" i="8" s="1"/>
  <c r="H60" i="7"/>
  <c r="G59" i="8" s="1"/>
  <c r="H59" i="7"/>
  <c r="G58" i="8" s="1"/>
  <c r="H58" i="7"/>
  <c r="G57" i="8" s="1"/>
  <c r="H57" i="7"/>
  <c r="G56" i="8" s="1"/>
  <c r="H56" i="7"/>
  <c r="G55" i="8" s="1"/>
  <c r="H55" i="7"/>
  <c r="G54" i="8" s="1"/>
  <c r="H54" i="7"/>
  <c r="H53" i="7"/>
  <c r="G52" i="8" s="1"/>
  <c r="H52" i="7"/>
  <c r="G51" i="8" s="1"/>
  <c r="H51" i="7"/>
  <c r="G50" i="8" s="1"/>
  <c r="H50" i="7"/>
  <c r="H49" i="7"/>
  <c r="G48" i="8" s="1"/>
  <c r="H48" i="7"/>
  <c r="G47" i="8" s="1"/>
  <c r="H47" i="7"/>
  <c r="G46" i="8" s="1"/>
  <c r="H46" i="7"/>
  <c r="G45" i="8" s="1"/>
  <c r="H45" i="7"/>
  <c r="H44" i="7"/>
  <c r="G43" i="8" s="1"/>
  <c r="H43" i="7"/>
  <c r="G42" i="8" s="1"/>
  <c r="H42" i="7"/>
  <c r="G41" i="8" s="1"/>
  <c r="H41" i="7"/>
  <c r="H40" i="7"/>
  <c r="G39" i="8" s="1"/>
  <c r="H39" i="7"/>
  <c r="G38" i="8" s="1"/>
  <c r="H38" i="7"/>
  <c r="G37" i="8" s="1"/>
  <c r="H37" i="7"/>
  <c r="G36" i="8" s="1"/>
  <c r="H36" i="7"/>
  <c r="G35" i="8" s="1"/>
  <c r="H35" i="7"/>
  <c r="G34" i="8" s="1"/>
  <c r="H34" i="7"/>
  <c r="G33" i="8" s="1"/>
  <c r="H33" i="7"/>
  <c r="H32" i="7"/>
  <c r="G31" i="8" s="1"/>
  <c r="H31" i="7"/>
  <c r="G30" i="8" s="1"/>
  <c r="H30" i="7"/>
  <c r="G29" i="8" s="1"/>
  <c r="H29" i="7"/>
  <c r="G28" i="8" s="1"/>
  <c r="H28" i="7"/>
  <c r="G27" i="8" s="1"/>
  <c r="H27" i="7"/>
  <c r="G26" i="8" s="1"/>
  <c r="H26" i="7"/>
  <c r="G25" i="8" s="1"/>
  <c r="H25" i="7"/>
  <c r="G24" i="8" s="1"/>
  <c r="H24" i="7"/>
  <c r="H23" i="7"/>
  <c r="G22" i="8" s="1"/>
  <c r="H22" i="7"/>
  <c r="G21" i="8" s="1"/>
  <c r="H21" i="7"/>
  <c r="G20" i="8" s="1"/>
  <c r="H20" i="7"/>
  <c r="G19" i="8" s="1"/>
  <c r="H19" i="7"/>
  <c r="G18" i="8" s="1"/>
  <c r="H18" i="7"/>
  <c r="G17" i="8" s="1"/>
  <c r="H17" i="7"/>
  <c r="G16" i="8" s="1"/>
  <c r="H16" i="7"/>
  <c r="H15" i="7"/>
  <c r="G14" i="8" s="1"/>
  <c r="H14" i="7"/>
  <c r="G13" i="8" s="1"/>
  <c r="H13" i="7"/>
  <c r="G12" i="8" s="1"/>
  <c r="H12" i="7"/>
  <c r="H11" i="7"/>
  <c r="H81" i="6"/>
  <c r="F80" i="8" s="1"/>
  <c r="H80" i="6"/>
  <c r="F79" i="8" s="1"/>
  <c r="H79" i="6"/>
  <c r="F78" i="8" s="1"/>
  <c r="H78" i="6"/>
  <c r="F77" i="8" s="1"/>
  <c r="H77" i="6"/>
  <c r="F76" i="8" s="1"/>
  <c r="H76" i="6"/>
  <c r="F75" i="8" s="1"/>
  <c r="H75" i="6"/>
  <c r="F74" i="8" s="1"/>
  <c r="H74" i="6"/>
  <c r="F73" i="8" s="1"/>
  <c r="H73" i="6"/>
  <c r="F72" i="8" s="1"/>
  <c r="H72" i="6"/>
  <c r="F71" i="8" s="1"/>
  <c r="H71" i="6"/>
  <c r="F70" i="8" s="1"/>
  <c r="H70" i="6"/>
  <c r="F69" i="8" s="1"/>
  <c r="H69" i="6"/>
  <c r="F68" i="8" s="1"/>
  <c r="H68" i="6"/>
  <c r="F67" i="8" s="1"/>
  <c r="H67" i="6"/>
  <c r="F66" i="8" s="1"/>
  <c r="H66" i="6"/>
  <c r="F65" i="8" s="1"/>
  <c r="H65" i="6"/>
  <c r="F64" i="8" s="1"/>
  <c r="H64" i="6"/>
  <c r="F63" i="8" s="1"/>
  <c r="H63" i="6"/>
  <c r="F62" i="8" s="1"/>
  <c r="H62" i="6"/>
  <c r="F61" i="8" s="1"/>
  <c r="H61" i="6"/>
  <c r="F60" i="8" s="1"/>
  <c r="H60" i="6"/>
  <c r="F59" i="8" s="1"/>
  <c r="H59" i="6"/>
  <c r="F58" i="8" s="1"/>
  <c r="H58" i="6"/>
  <c r="F57" i="8" s="1"/>
  <c r="H57" i="6"/>
  <c r="F56" i="8" s="1"/>
  <c r="H56" i="6"/>
  <c r="F55" i="8" s="1"/>
  <c r="H55" i="6"/>
  <c r="F54" i="8" s="1"/>
  <c r="H54" i="6"/>
  <c r="F53" i="8" s="1"/>
  <c r="H53" i="6"/>
  <c r="F52" i="8" s="1"/>
  <c r="H52" i="6"/>
  <c r="F51" i="8" s="1"/>
  <c r="H51" i="6"/>
  <c r="F50" i="8" s="1"/>
  <c r="H50" i="6"/>
  <c r="F49" i="8" s="1"/>
  <c r="H49" i="6"/>
  <c r="F48" i="8" s="1"/>
  <c r="H48" i="6"/>
  <c r="F47" i="8" s="1"/>
  <c r="H47" i="6"/>
  <c r="F46" i="8" s="1"/>
  <c r="H46" i="6"/>
  <c r="F45" i="8" s="1"/>
  <c r="H45" i="6"/>
  <c r="F44" i="8" s="1"/>
  <c r="H44" i="6"/>
  <c r="F43" i="8" s="1"/>
  <c r="H43" i="6"/>
  <c r="F42" i="8" s="1"/>
  <c r="H42" i="6"/>
  <c r="F41" i="8" s="1"/>
  <c r="H41" i="6"/>
  <c r="F40" i="8" s="1"/>
  <c r="H40" i="6"/>
  <c r="F39" i="8" s="1"/>
  <c r="H39" i="6"/>
  <c r="F38" i="8" s="1"/>
  <c r="H38" i="6"/>
  <c r="F37" i="8" s="1"/>
  <c r="H37" i="6"/>
  <c r="F36" i="8" s="1"/>
  <c r="H36" i="6"/>
  <c r="F35" i="8" s="1"/>
  <c r="H35" i="6"/>
  <c r="F34" i="8" s="1"/>
  <c r="H34" i="6"/>
  <c r="F33" i="8" s="1"/>
  <c r="H33" i="6"/>
  <c r="F32" i="8" s="1"/>
  <c r="H32" i="6"/>
  <c r="F31" i="8" s="1"/>
  <c r="H31" i="6"/>
  <c r="F30" i="8" s="1"/>
  <c r="H30" i="6"/>
  <c r="F29" i="8" s="1"/>
  <c r="H29" i="6"/>
  <c r="F28" i="8" s="1"/>
  <c r="H28" i="6"/>
  <c r="F27" i="8" s="1"/>
  <c r="H27" i="6"/>
  <c r="F26" i="8" s="1"/>
  <c r="H26" i="6"/>
  <c r="F25" i="8" s="1"/>
  <c r="H25" i="6"/>
  <c r="F24" i="8" s="1"/>
  <c r="H24" i="6"/>
  <c r="F23" i="8" s="1"/>
  <c r="H23" i="6"/>
  <c r="F22" i="8" s="1"/>
  <c r="H22" i="6"/>
  <c r="H21" i="6"/>
  <c r="F20" i="8" s="1"/>
  <c r="H20" i="6"/>
  <c r="F19" i="8" s="1"/>
  <c r="H19" i="6"/>
  <c r="F18" i="8" s="1"/>
  <c r="H18" i="6"/>
  <c r="F17" i="8" s="1"/>
  <c r="H17" i="6"/>
  <c r="F16" i="8" s="1"/>
  <c r="H16" i="6"/>
  <c r="F15" i="8" s="1"/>
  <c r="H15" i="6"/>
  <c r="F14" i="8" s="1"/>
  <c r="H14" i="6"/>
  <c r="F13" i="8" s="1"/>
  <c r="H13" i="6"/>
  <c r="F12" i="8" s="1"/>
  <c r="H12" i="6"/>
  <c r="H11" i="6"/>
  <c r="H81" i="5"/>
  <c r="E80" i="8" s="1"/>
  <c r="H80" i="5"/>
  <c r="E79" i="8" s="1"/>
  <c r="H79" i="5"/>
  <c r="E78" i="8" s="1"/>
  <c r="H78" i="5"/>
  <c r="E77" i="8" s="1"/>
  <c r="H77" i="5"/>
  <c r="E76" i="8" s="1"/>
  <c r="H76" i="5"/>
  <c r="E75" i="8" s="1"/>
  <c r="H75" i="5"/>
  <c r="E74" i="8" s="1"/>
  <c r="H74" i="5"/>
  <c r="E73" i="8" s="1"/>
  <c r="H73" i="5"/>
  <c r="E72" i="8" s="1"/>
  <c r="H72" i="5"/>
  <c r="E71" i="8" s="1"/>
  <c r="H71" i="5"/>
  <c r="E70" i="8" s="1"/>
  <c r="H70" i="5"/>
  <c r="E69" i="8" s="1"/>
  <c r="H69" i="5"/>
  <c r="E68" i="8" s="1"/>
  <c r="H68" i="5"/>
  <c r="E67" i="8" s="1"/>
  <c r="H67" i="5"/>
  <c r="H66" i="5"/>
  <c r="E65" i="8" s="1"/>
  <c r="H65" i="5"/>
  <c r="E64" i="8" s="1"/>
  <c r="H64" i="5"/>
  <c r="E63" i="8" s="1"/>
  <c r="H63" i="5"/>
  <c r="E62" i="8" s="1"/>
  <c r="H62" i="5"/>
  <c r="E61" i="8" s="1"/>
  <c r="H61" i="5"/>
  <c r="E60" i="8" s="1"/>
  <c r="H60" i="5"/>
  <c r="E59" i="8" s="1"/>
  <c r="H59" i="5"/>
  <c r="E58" i="8" s="1"/>
  <c r="H58" i="5"/>
  <c r="E57" i="8" s="1"/>
  <c r="H57" i="5"/>
  <c r="E56" i="8" s="1"/>
  <c r="H56" i="5"/>
  <c r="H55" i="5"/>
  <c r="E54" i="8" s="1"/>
  <c r="H54" i="5"/>
  <c r="E53" i="8" s="1"/>
  <c r="H53" i="5"/>
  <c r="E52" i="8" s="1"/>
  <c r="H52" i="5"/>
  <c r="E51" i="8" s="1"/>
  <c r="H51" i="5"/>
  <c r="E50" i="8" s="1"/>
  <c r="H50" i="5"/>
  <c r="E49" i="8" s="1"/>
  <c r="H49" i="5"/>
  <c r="E48" i="8" s="1"/>
  <c r="H48" i="5"/>
  <c r="E47" i="8" s="1"/>
  <c r="H47" i="5"/>
  <c r="E46" i="8" s="1"/>
  <c r="H46" i="5"/>
  <c r="E45" i="8" s="1"/>
  <c r="H45" i="5"/>
  <c r="E44" i="8" s="1"/>
  <c r="H44" i="5"/>
  <c r="E43" i="8" s="1"/>
  <c r="H43" i="5"/>
  <c r="E42" i="8" s="1"/>
  <c r="H42" i="5"/>
  <c r="E41" i="8" s="1"/>
  <c r="H41" i="5"/>
  <c r="E40" i="8" s="1"/>
  <c r="H40" i="5"/>
  <c r="E39" i="8" s="1"/>
  <c r="H39" i="5"/>
  <c r="E38" i="8" s="1"/>
  <c r="H38" i="5"/>
  <c r="H37" i="5"/>
  <c r="E36" i="8" s="1"/>
  <c r="H36" i="5"/>
  <c r="E35" i="8" s="1"/>
  <c r="H35" i="5"/>
  <c r="E34" i="8" s="1"/>
  <c r="H34" i="5"/>
  <c r="E33" i="8" s="1"/>
  <c r="H33" i="5"/>
  <c r="E32" i="8" s="1"/>
  <c r="H32" i="5"/>
  <c r="E31" i="8" s="1"/>
  <c r="H31" i="5"/>
  <c r="E30" i="8" s="1"/>
  <c r="H30" i="5"/>
  <c r="E29" i="8" s="1"/>
  <c r="H29" i="5"/>
  <c r="E28" i="8" s="1"/>
  <c r="H28" i="5"/>
  <c r="E27" i="8" s="1"/>
  <c r="H27" i="5"/>
  <c r="E26" i="8" s="1"/>
  <c r="H26" i="5"/>
  <c r="E25" i="8" s="1"/>
  <c r="H25" i="5"/>
  <c r="E24" i="8" s="1"/>
  <c r="H24" i="5"/>
  <c r="E23" i="8" s="1"/>
  <c r="H23" i="5"/>
  <c r="E22" i="8" s="1"/>
  <c r="H22" i="5"/>
  <c r="E21" i="8" s="1"/>
  <c r="H21" i="5"/>
  <c r="E20" i="8" s="1"/>
  <c r="H20" i="5"/>
  <c r="H19" i="5"/>
  <c r="E18" i="8" s="1"/>
  <c r="H18" i="5"/>
  <c r="E17" i="8" s="1"/>
  <c r="H17" i="5"/>
  <c r="E16" i="8" s="1"/>
  <c r="H16" i="5"/>
  <c r="E15" i="8" s="1"/>
  <c r="H15" i="5"/>
  <c r="E14" i="8" s="1"/>
  <c r="H14" i="5"/>
  <c r="E13" i="8" s="1"/>
  <c r="H13" i="5"/>
  <c r="E12" i="8" s="1"/>
  <c r="H12" i="5"/>
  <c r="H11" i="5"/>
  <c r="H81" i="4"/>
  <c r="D80" i="8" s="1"/>
  <c r="H80" i="4"/>
  <c r="D79" i="8" s="1"/>
  <c r="H79" i="4"/>
  <c r="D78" i="8" s="1"/>
  <c r="H78" i="4"/>
  <c r="H77" i="4"/>
  <c r="D76" i="8" s="1"/>
  <c r="H76" i="4"/>
  <c r="H75" i="4"/>
  <c r="D74" i="8" s="1"/>
  <c r="H74" i="4"/>
  <c r="D73" i="8" s="1"/>
  <c r="H73" i="4"/>
  <c r="D72" i="8" s="1"/>
  <c r="H72" i="4"/>
  <c r="D71" i="8" s="1"/>
  <c r="H71" i="4"/>
  <c r="D70" i="8" s="1"/>
  <c r="H70" i="4"/>
  <c r="D69" i="8" s="1"/>
  <c r="H69" i="4"/>
  <c r="D68" i="8" s="1"/>
  <c r="H68" i="4"/>
  <c r="D67" i="8" s="1"/>
  <c r="H67" i="4"/>
  <c r="D66" i="8" s="1"/>
  <c r="H66" i="4"/>
  <c r="H65" i="4"/>
  <c r="D64" i="8" s="1"/>
  <c r="H64" i="4"/>
  <c r="H63" i="4"/>
  <c r="D62" i="8" s="1"/>
  <c r="H62" i="4"/>
  <c r="D61" i="8" s="1"/>
  <c r="H61" i="4"/>
  <c r="H60" i="4"/>
  <c r="D59" i="8" s="1"/>
  <c r="H59" i="4"/>
  <c r="D58" i="8" s="1"/>
  <c r="H58" i="4"/>
  <c r="H57" i="4"/>
  <c r="D56" i="8" s="1"/>
  <c r="H56" i="4"/>
  <c r="D55" i="8" s="1"/>
  <c r="H55" i="4"/>
  <c r="H54" i="4"/>
  <c r="D53" i="8" s="1"/>
  <c r="H53" i="4"/>
  <c r="D52" i="8" s="1"/>
  <c r="H52" i="4"/>
  <c r="H51" i="4"/>
  <c r="D50" i="8" s="1"/>
  <c r="H50" i="4"/>
  <c r="D49" i="8" s="1"/>
  <c r="H49" i="4"/>
  <c r="H48" i="4"/>
  <c r="D47" i="8" s="1"/>
  <c r="H47" i="4"/>
  <c r="D46" i="8" s="1"/>
  <c r="H46" i="4"/>
  <c r="H45" i="4"/>
  <c r="D44" i="8" s="1"/>
  <c r="H44" i="4"/>
  <c r="D43" i="8" s="1"/>
  <c r="H43" i="4"/>
  <c r="H42" i="4"/>
  <c r="D41" i="8" s="1"/>
  <c r="H41" i="4"/>
  <c r="D40" i="8" s="1"/>
  <c r="H40" i="4"/>
  <c r="H39" i="4"/>
  <c r="D38" i="8" s="1"/>
  <c r="H38" i="4"/>
  <c r="D37" i="8" s="1"/>
  <c r="H37" i="4"/>
  <c r="H36" i="4"/>
  <c r="D35" i="8" s="1"/>
  <c r="H35" i="4"/>
  <c r="D34" i="8" s="1"/>
  <c r="H34" i="4"/>
  <c r="H33" i="4"/>
  <c r="D32" i="8" s="1"/>
  <c r="H32" i="4"/>
  <c r="D31" i="8" s="1"/>
  <c r="H31" i="4"/>
  <c r="H30" i="4"/>
  <c r="D29" i="8" s="1"/>
  <c r="H29" i="4"/>
  <c r="D28" i="8" s="1"/>
  <c r="H28" i="4"/>
  <c r="H27" i="4"/>
  <c r="D26" i="8" s="1"/>
  <c r="H26" i="4"/>
  <c r="D25" i="8" s="1"/>
  <c r="H25" i="4"/>
  <c r="H24" i="4"/>
  <c r="D23" i="8" s="1"/>
  <c r="H23" i="4"/>
  <c r="D22" i="8" s="1"/>
  <c r="H22" i="4"/>
  <c r="H21" i="4"/>
  <c r="D20" i="8" s="1"/>
  <c r="H20" i="4"/>
  <c r="D19" i="8" s="1"/>
  <c r="H19" i="4"/>
  <c r="H18" i="4"/>
  <c r="D17" i="8" s="1"/>
  <c r="H17" i="4"/>
  <c r="D16" i="8" s="1"/>
  <c r="H16" i="4"/>
  <c r="H15" i="4"/>
  <c r="D14" i="8" s="1"/>
  <c r="H14" i="4"/>
  <c r="D13" i="8" s="1"/>
  <c r="H13" i="4"/>
  <c r="D12" i="8" s="1"/>
  <c r="H12" i="4"/>
  <c r="H11" i="4"/>
  <c r="H81" i="3"/>
  <c r="C80" i="8" s="1"/>
  <c r="H80" i="3"/>
  <c r="C79" i="8" s="1"/>
  <c r="H79" i="3"/>
  <c r="C78" i="8" s="1"/>
  <c r="H78" i="3"/>
  <c r="C77" i="8" s="1"/>
  <c r="H77" i="3"/>
  <c r="C76" i="8" s="1"/>
  <c r="H76" i="3"/>
  <c r="H75" i="3"/>
  <c r="C74" i="8" s="1"/>
  <c r="H74" i="3"/>
  <c r="C73" i="8" s="1"/>
  <c r="H73" i="3"/>
  <c r="C72" i="8" s="1"/>
  <c r="H72" i="3"/>
  <c r="C71" i="8" s="1"/>
  <c r="H71" i="3"/>
  <c r="C70" i="8" s="1"/>
  <c r="H70" i="3"/>
  <c r="C69" i="8" s="1"/>
  <c r="H69" i="3"/>
  <c r="C68" i="8" s="1"/>
  <c r="H68" i="3"/>
  <c r="C67" i="8" s="1"/>
  <c r="H67" i="3"/>
  <c r="C66" i="8" s="1"/>
  <c r="H66" i="3"/>
  <c r="C65" i="8" s="1"/>
  <c r="H65" i="3"/>
  <c r="C64" i="8" s="1"/>
  <c r="H64" i="3"/>
  <c r="H63" i="3"/>
  <c r="C62" i="8" s="1"/>
  <c r="H62" i="3"/>
  <c r="C61" i="8" s="1"/>
  <c r="H61" i="3"/>
  <c r="C60" i="8" s="1"/>
  <c r="H60" i="3"/>
  <c r="C59" i="8" s="1"/>
  <c r="H59" i="3"/>
  <c r="C58" i="8" s="1"/>
  <c r="H58" i="3"/>
  <c r="C57" i="8" s="1"/>
  <c r="H57" i="3"/>
  <c r="C56" i="8" s="1"/>
  <c r="H56" i="3"/>
  <c r="C55" i="8" s="1"/>
  <c r="H55" i="3"/>
  <c r="C54" i="8" s="1"/>
  <c r="H54" i="3"/>
  <c r="C53" i="8" s="1"/>
  <c r="H53" i="3"/>
  <c r="C52" i="8" s="1"/>
  <c r="H52" i="3"/>
  <c r="H51" i="3"/>
  <c r="C50" i="8" s="1"/>
  <c r="H50" i="3"/>
  <c r="C49" i="8" s="1"/>
  <c r="H49" i="3"/>
  <c r="C48" i="8" s="1"/>
  <c r="H48" i="3"/>
  <c r="C47" i="8" s="1"/>
  <c r="H47" i="3"/>
  <c r="C46" i="8" s="1"/>
  <c r="H46" i="3"/>
  <c r="C45" i="8" s="1"/>
  <c r="H45" i="3"/>
  <c r="C44" i="8" s="1"/>
  <c r="H44" i="3"/>
  <c r="C43" i="8" s="1"/>
  <c r="H43" i="3"/>
  <c r="C42" i="8" s="1"/>
  <c r="H42" i="3"/>
  <c r="C41" i="8" s="1"/>
  <c r="H41" i="3"/>
  <c r="C40" i="8" s="1"/>
  <c r="H40" i="3"/>
  <c r="C39" i="8" s="1"/>
  <c r="H39" i="3"/>
  <c r="H38" i="3"/>
  <c r="C37" i="8" s="1"/>
  <c r="H37" i="3"/>
  <c r="C36" i="8" s="1"/>
  <c r="H36" i="3"/>
  <c r="C35" i="8" s="1"/>
  <c r="H35" i="3"/>
  <c r="C34" i="8" s="1"/>
  <c r="H34" i="3"/>
  <c r="C33" i="8" s="1"/>
  <c r="H33" i="3"/>
  <c r="C32" i="8" s="1"/>
  <c r="H32" i="3"/>
  <c r="C31" i="8" s="1"/>
  <c r="H31" i="3"/>
  <c r="C30" i="8" s="1"/>
  <c r="H30" i="3"/>
  <c r="C29" i="8" s="1"/>
  <c r="H29" i="3"/>
  <c r="C28" i="8" s="1"/>
  <c r="H28" i="3"/>
  <c r="C27" i="8" s="1"/>
  <c r="H27" i="3"/>
  <c r="H26" i="3"/>
  <c r="C25" i="8" s="1"/>
  <c r="H25" i="3"/>
  <c r="C24" i="8" s="1"/>
  <c r="H24" i="3"/>
  <c r="C23" i="8" s="1"/>
  <c r="H23" i="3"/>
  <c r="C22" i="8" s="1"/>
  <c r="H22" i="3"/>
  <c r="C21" i="8" s="1"/>
  <c r="H21" i="3"/>
  <c r="C20" i="8" s="1"/>
  <c r="H20" i="3"/>
  <c r="C19" i="8" s="1"/>
  <c r="H19" i="3"/>
  <c r="C18" i="8" s="1"/>
  <c r="H18" i="3"/>
  <c r="C17" i="8" s="1"/>
  <c r="H17" i="3"/>
  <c r="C16" i="8" s="1"/>
  <c r="H16" i="3"/>
  <c r="C15" i="8" s="1"/>
  <c r="H15" i="3"/>
  <c r="H14" i="3"/>
  <c r="C13" i="8" s="1"/>
  <c r="H13" i="3"/>
  <c r="C12" i="8" s="1"/>
  <c r="H12" i="3"/>
  <c r="H11" i="3"/>
</calcChain>
</file>

<file path=xl/sharedStrings.xml><?xml version="1.0" encoding="utf-8"?>
<sst xmlns="http://schemas.openxmlformats.org/spreadsheetml/2006/main" count="223" uniqueCount="102">
  <si>
    <t>BHARATI VIDYAPEETH’S</t>
  </si>
  <si>
    <t>COLLEGE OF ENGINEERING FOR WOMEN, PUNE</t>
  </si>
  <si>
    <t>DEPARTMENT OF ENGINEERING SCIENCES  AND ALLIED ENGINEERING</t>
  </si>
  <si>
    <t>Academic Year</t>
  </si>
  <si>
    <t>2024-25</t>
  </si>
  <si>
    <t>Subject</t>
  </si>
  <si>
    <t>Semester</t>
  </si>
  <si>
    <t>Class</t>
  </si>
  <si>
    <t>F.E.</t>
  </si>
  <si>
    <t>Division</t>
  </si>
  <si>
    <t>Comprehensive Continuous Evaluation</t>
  </si>
  <si>
    <t>Total Marks</t>
  </si>
  <si>
    <t>Overall Attendance</t>
  </si>
  <si>
    <t>Roll No</t>
  </si>
  <si>
    <t>Name of Student</t>
  </si>
  <si>
    <t>Unit 1</t>
  </si>
  <si>
    <t>Unit 2</t>
  </si>
  <si>
    <t>Unit 3</t>
  </si>
  <si>
    <t>Unit 4</t>
  </si>
  <si>
    <t>Unit 5</t>
  </si>
  <si>
    <t>Unit Test</t>
  </si>
  <si>
    <t>Assignment /Case Study</t>
  </si>
  <si>
    <t>Seminar Presentation/Open book Test/Quiz</t>
  </si>
  <si>
    <t>Marks</t>
  </si>
  <si>
    <t>Date of  Conduction</t>
  </si>
  <si>
    <t>EM-1</t>
  </si>
  <si>
    <t>FPL</t>
  </si>
  <si>
    <t xml:space="preserve">Attendance </t>
  </si>
  <si>
    <t>Name of  Subject Teacher</t>
  </si>
  <si>
    <t>Sign</t>
  </si>
  <si>
    <t>EP</t>
  </si>
  <si>
    <t>BEE</t>
  </si>
  <si>
    <t>EM</t>
  </si>
  <si>
    <t>TIWARY ADITA AJIT</t>
  </si>
  <si>
    <t xml:space="preserve">FULZELE AMRUTA HIRALAL </t>
  </si>
  <si>
    <t>ANBHULE ADITI NAMDEO</t>
  </si>
  <si>
    <t xml:space="preserve">ANBHULE  SHIVANI  SANDIP </t>
  </si>
  <si>
    <t>SAI PRAJNA B</t>
  </si>
  <si>
    <t xml:space="preserve">BADAGU  GRISHMA GANESH </t>
  </si>
  <si>
    <t xml:space="preserve">BANDAL  KAVERI  MOHAN </t>
  </si>
  <si>
    <t xml:space="preserve">BARVE ASMITA  ABHISHEK </t>
  </si>
  <si>
    <t>BHOSALE MIHIKA MANSING</t>
  </si>
  <si>
    <t>BONDRE ASMITA  KAILAS</t>
  </si>
  <si>
    <t>CHAVAN  HARIPRIYA  SATISH</t>
  </si>
  <si>
    <t>CHAVAN  NEHA BHIVSEN</t>
  </si>
  <si>
    <t xml:space="preserve">CHAVAN  SHARWARI  YOGESH </t>
  </si>
  <si>
    <t>CHILWANT  GAURI SATISH</t>
  </si>
  <si>
    <t xml:space="preserve">CHOBE  ANUSHKA  SANJAY </t>
  </si>
  <si>
    <t>CHOLKE PRERNA SACHIN</t>
  </si>
  <si>
    <t xml:space="preserve">DATIR  SAMRUDDHI  BALASAHEB </t>
  </si>
  <si>
    <t xml:space="preserve">GAIKWAD SRUSHTI BHAUSAHEB </t>
  </si>
  <si>
    <t>GEJAGE SAMRUDDHI  SATISH</t>
  </si>
  <si>
    <t xml:space="preserve">GHARBUDVE  DHANASHREE  MADHUKAR </t>
  </si>
  <si>
    <t xml:space="preserve">GHOM ARYA BHAIYA </t>
  </si>
  <si>
    <t xml:space="preserve">GUND  ANUJA  BALASAHEB </t>
  </si>
  <si>
    <t xml:space="preserve">INGOLE  KASHISH  ANANT </t>
  </si>
  <si>
    <t>SHAIKH INSHEERA MANSUR</t>
  </si>
  <si>
    <t>JADHAV SANSKRUTI SACHIN</t>
  </si>
  <si>
    <t>JAGTAP SHRAVANI VIJAY</t>
  </si>
  <si>
    <t>JAGTAP  TANISHKA  BHARAT</t>
  </si>
  <si>
    <t>JANGID ANJU NAVRATMAL</t>
  </si>
  <si>
    <t>JHA NIVEDITA RAJESH</t>
  </si>
  <si>
    <t>KADAM SRUSHTI  ARUN</t>
  </si>
  <si>
    <t>KALASE PRANITA PRAKASH</t>
  </si>
  <si>
    <t xml:space="preserve">KANADE SHRADDHA  DHANANJAY </t>
  </si>
  <si>
    <t>KHARAT AISHWARYA  SURESH</t>
  </si>
  <si>
    <t>KHARDE PAYAL AJAY</t>
  </si>
  <si>
    <t>DODE KHUSHI  KAILAS</t>
  </si>
  <si>
    <t xml:space="preserve">KIRVE ANUSHKA RAVINDRA </t>
  </si>
  <si>
    <t xml:space="preserve">KOKARE  APEKSHA  PINUKDEV </t>
  </si>
  <si>
    <t>KULKARNI  AVANI SHIVAJI</t>
  </si>
  <si>
    <t>LAWAND RUTUJA RAMESH</t>
  </si>
  <si>
    <t xml:space="preserve">  </t>
  </si>
  <si>
    <t>MAKHARE  RIYA TUSHAR</t>
  </si>
  <si>
    <t>MHATRE SWARA  SURAJ</t>
  </si>
  <si>
    <t xml:space="preserve">MODAK  SANIKA  ABASAHEB </t>
  </si>
  <si>
    <t xml:space="preserve">MORE SAKSHI  PRAKASH </t>
  </si>
  <si>
    <t>NETAKE  RUTIKA  LAXMAN</t>
  </si>
  <si>
    <t>PARDESHI  RIYA  MANOJ</t>
  </si>
  <si>
    <t xml:space="preserve">PATIL SHWETA SACHIN </t>
  </si>
  <si>
    <t>PAWAR BHARGAVI BHUSHAN</t>
  </si>
  <si>
    <t xml:space="preserve">PAWAR  SUVARNA  SURYBHAN </t>
  </si>
  <si>
    <t xml:space="preserve">PHATAK  VEDIKA HEMANT </t>
  </si>
  <si>
    <t xml:space="preserve">PUJARI NIKITA JAKAPPA </t>
  </si>
  <si>
    <t>RENUSE ASHU  RAVINDRA</t>
  </si>
  <si>
    <t>SALUNKE SIDDHI  DATTATRAY</t>
  </si>
  <si>
    <t>PATIL SEJAL MAHESH</t>
  </si>
  <si>
    <t xml:space="preserve">SHAIKH  TEHSEENA  ABDUL RASHID </t>
  </si>
  <si>
    <t xml:space="preserve">SHELKE  TEJASVINI  SANJAY </t>
  </si>
  <si>
    <t xml:space="preserve">SHINDE SAKSHI SANTOSH </t>
  </si>
  <si>
    <t xml:space="preserve">DHADAVE  SHRAVANI PRASHANT </t>
  </si>
  <si>
    <t>JAMDADE SHRAVANI SUNIL</t>
  </si>
  <si>
    <t xml:space="preserve">SIDAM  SHRAVANI  TUKARAM </t>
  </si>
  <si>
    <t xml:space="preserve">SUKALE  ESHAWARI  SUNIL </t>
  </si>
  <si>
    <t xml:space="preserve">RAJOLE TANAYAA BHALCHANDRA </t>
  </si>
  <si>
    <t>TANDEKAR VANSHIKA BHIVDAS</t>
  </si>
  <si>
    <t xml:space="preserve">TARALKAR  MRUDULA  PANKAJ </t>
  </si>
  <si>
    <t>TAVHARE RIYA NAWNATH</t>
  </si>
  <si>
    <t xml:space="preserve">TODKAR GUNJAN  MANOJ </t>
  </si>
  <si>
    <t xml:space="preserve">VAISHNAV  SAMIKSHA PANKAJ </t>
  </si>
  <si>
    <t xml:space="preserve">AGRAWAL  YUKTI  NILESH </t>
  </si>
  <si>
    <t>GENDEWAD VEDIKA SHIVAJI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</si>
</sst>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opLeftCell="A64" workbookViewId="0">
      <selection activeCell="G87" sqref="G87"/>
    </sheetView>
  </sheetViews>
  <sheetFormatPr defaultRowHeight="15" x14ac:dyDescent="0.25"/>
  <cols>
    <col min="1" max="1" width="10.285156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12.28515625" style="3" customWidth="1"/>
    <col min="9" max="16384" width="9.140625" style="3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4" t="s">
        <v>1</v>
      </c>
      <c r="B2" s="2"/>
      <c r="C2" s="2"/>
      <c r="D2" s="2"/>
      <c r="E2" s="2"/>
      <c r="F2" s="2"/>
      <c r="G2" s="2"/>
      <c r="H2" s="2"/>
    </row>
    <row r="3" spans="1:8" ht="15.75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s="7" customFormat="1" ht="15.75" x14ac:dyDescent="0.25">
      <c r="A4" s="5" t="s">
        <v>3</v>
      </c>
      <c r="B4" s="6" t="s">
        <v>4</v>
      </c>
    </row>
    <row r="5" spans="1:8" ht="15.75" x14ac:dyDescent="0.25">
      <c r="A5" s="5" t="s">
        <v>5</v>
      </c>
      <c r="C5" s="7"/>
      <c r="D5" s="2"/>
      <c r="E5" s="2"/>
      <c r="F5" s="2"/>
      <c r="G5" s="2"/>
    </row>
    <row r="6" spans="1:8" ht="15.75" x14ac:dyDescent="0.25">
      <c r="A6" s="5" t="s">
        <v>6</v>
      </c>
      <c r="B6" s="2"/>
      <c r="C6" s="2"/>
      <c r="D6" s="2"/>
      <c r="E6" s="2"/>
      <c r="F6" s="2"/>
      <c r="G6" s="2"/>
    </row>
    <row r="7" spans="1:8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8" s="6" customFormat="1" ht="14.25" customHeight="1" x14ac:dyDescent="0.2">
      <c r="A8" s="9"/>
      <c r="B8" s="9"/>
      <c r="C8" s="20" t="s">
        <v>10</v>
      </c>
      <c r="D8" s="21"/>
      <c r="E8" s="21"/>
      <c r="F8" s="21"/>
      <c r="G8" s="22"/>
      <c r="H8" s="17" t="s">
        <v>27</v>
      </c>
    </row>
    <row r="9" spans="1:8" s="6" customFormat="1" ht="14.25" x14ac:dyDescent="0.2">
      <c r="A9" s="9" t="s">
        <v>13</v>
      </c>
      <c r="B9" s="9" t="s">
        <v>14</v>
      </c>
      <c r="C9" s="9" t="s">
        <v>25</v>
      </c>
      <c r="D9" s="9" t="s">
        <v>30</v>
      </c>
      <c r="E9" s="9" t="s">
        <v>31</v>
      </c>
      <c r="F9" s="9" t="s">
        <v>32</v>
      </c>
      <c r="G9" s="9" t="s">
        <v>26</v>
      </c>
      <c r="H9" s="18"/>
    </row>
    <row r="10" spans="1:8" x14ac:dyDescent="0.25">
      <c r="A10" s="11"/>
      <c r="B10" s="12" t="s">
        <v>23</v>
      </c>
      <c r="C10" s="9">
        <v>30</v>
      </c>
      <c r="D10" s="9">
        <v>30</v>
      </c>
      <c r="E10" s="9">
        <v>30</v>
      </c>
      <c r="F10" s="9">
        <v>30</v>
      </c>
      <c r="G10" s="9">
        <v>30</v>
      </c>
      <c r="H10" s="19"/>
    </row>
    <row r="11" spans="1:8" x14ac:dyDescent="0.25">
      <c r="A11" s="11"/>
      <c r="B11" s="12" t="s">
        <v>24</v>
      </c>
      <c r="C11" s="9"/>
      <c r="D11" s="9"/>
      <c r="E11" s="9"/>
      <c r="F11" s="9"/>
      <c r="G11" s="9"/>
      <c r="H11" s="11"/>
    </row>
    <row r="12" spans="1:8" x14ac:dyDescent="0.25">
      <c r="A12" s="13">
        <v>401</v>
      </c>
      <c r="B12" s="16" t="s">
        <v>33</v>
      </c>
      <c r="C12" s="13">
        <f>'Engg Mathematics'!H13</f>
        <v>0</v>
      </c>
      <c r="D12" s="13">
        <f>'Engg. Physics'!H13</f>
        <v>0</v>
      </c>
      <c r="E12" s="13">
        <f>'Basic Electrical'!H13</f>
        <v>0</v>
      </c>
      <c r="F12" s="13">
        <f>'Engg. Mechanics'!H13</f>
        <v>0</v>
      </c>
      <c r="G12" s="13">
        <f>FPL!H13</f>
        <v>0</v>
      </c>
      <c r="H12" s="14">
        <f>AVERAGE('Engg Mathematics'!I13+'Engg. Physics'!I13+'Basic Electrical'!I13+'Engg. Mechanics'!I13+FPL!I13)</f>
        <v>0</v>
      </c>
    </row>
    <row r="13" spans="1:8" x14ac:dyDescent="0.25">
      <c r="A13" s="13">
        <v>402</v>
      </c>
      <c r="B13" s="16" t="s">
        <v>34</v>
      </c>
      <c r="C13" s="13">
        <f>'Engg Mathematics'!H14</f>
        <v>0</v>
      </c>
      <c r="D13" s="13">
        <f>'Engg. Physics'!H14</f>
        <v>0</v>
      </c>
      <c r="E13" s="13">
        <f>'Basic Electrical'!H14</f>
        <v>0</v>
      </c>
      <c r="F13" s="13">
        <f>'Engg. Mechanics'!H14</f>
        <v>0</v>
      </c>
      <c r="G13" s="13">
        <f>FPL!H14</f>
        <v>0</v>
      </c>
      <c r="H13" s="14">
        <f>AVERAGE('Engg Mathematics'!I14+'Engg. Physics'!I14+'Basic Electrical'!I14+'Engg. Mechanics'!I14+FPL!I14)</f>
        <v>0</v>
      </c>
    </row>
    <row r="14" spans="1:8" x14ac:dyDescent="0.25">
      <c r="A14" s="13">
        <v>403</v>
      </c>
      <c r="B14" s="16" t="s">
        <v>35</v>
      </c>
      <c r="C14" s="13">
        <f>'Engg Mathematics'!H15</f>
        <v>0</v>
      </c>
      <c r="D14" s="13">
        <f>'Engg. Physics'!H15</f>
        <v>0</v>
      </c>
      <c r="E14" s="13">
        <f>'Basic Electrical'!H15</f>
        <v>0</v>
      </c>
      <c r="F14" s="13">
        <f>'Engg. Mechanics'!H15</f>
        <v>0</v>
      </c>
      <c r="G14" s="13">
        <f>FPL!H15</f>
        <v>0</v>
      </c>
      <c r="H14" s="14">
        <f>AVERAGE('Engg Mathematics'!I15+'Engg. Physics'!I15+'Basic Electrical'!I15+'Engg. Mechanics'!I15+FPL!I15)</f>
        <v>0</v>
      </c>
    </row>
    <row r="15" spans="1:8" x14ac:dyDescent="0.25">
      <c r="A15" s="13">
        <v>404</v>
      </c>
      <c r="B15" s="16" t="s">
        <v>36</v>
      </c>
      <c r="C15" s="13">
        <f>'Engg Mathematics'!H16</f>
        <v>0</v>
      </c>
      <c r="D15" s="13">
        <f>'Engg. Physics'!H16</f>
        <v>0</v>
      </c>
      <c r="E15" s="13">
        <f>'Basic Electrical'!H16</f>
        <v>0</v>
      </c>
      <c r="F15" s="13">
        <f>'Engg. Mechanics'!H16</f>
        <v>0</v>
      </c>
      <c r="G15" s="13">
        <f>FPL!H16</f>
        <v>0</v>
      </c>
      <c r="H15" s="14">
        <f>AVERAGE('Engg Mathematics'!I16+'Engg. Physics'!I16+'Basic Electrical'!I16+'Engg. Mechanics'!I16+FPL!I16)</f>
        <v>0</v>
      </c>
    </row>
    <row r="16" spans="1:8" x14ac:dyDescent="0.25">
      <c r="A16" s="13">
        <v>405</v>
      </c>
      <c r="B16" s="16" t="s">
        <v>37</v>
      </c>
      <c r="C16" s="13">
        <f>'Engg Mathematics'!H17</f>
        <v>0</v>
      </c>
      <c r="D16" s="13">
        <f>'Engg. Physics'!H17</f>
        <v>0</v>
      </c>
      <c r="E16" s="13">
        <f>'Basic Electrical'!H17</f>
        <v>0</v>
      </c>
      <c r="F16" s="13">
        <f>'Engg. Mechanics'!H17</f>
        <v>0</v>
      </c>
      <c r="G16" s="13">
        <f>FPL!H17</f>
        <v>0</v>
      </c>
      <c r="H16" s="14">
        <f>AVERAGE('Engg Mathematics'!I17+'Engg. Physics'!I17+'Basic Electrical'!I17+'Engg. Mechanics'!I17+FPL!I17)</f>
        <v>0</v>
      </c>
    </row>
    <row r="17" spans="1:8" x14ac:dyDescent="0.25">
      <c r="A17" s="13">
        <v>406</v>
      </c>
      <c r="B17" s="16" t="s">
        <v>38</v>
      </c>
      <c r="C17" s="13">
        <f>'Engg Mathematics'!H18</f>
        <v>0</v>
      </c>
      <c r="D17" s="13">
        <f>'Engg. Physics'!H18</f>
        <v>0</v>
      </c>
      <c r="E17" s="13">
        <f>'Basic Electrical'!H18</f>
        <v>0</v>
      </c>
      <c r="F17" s="13">
        <f>'Engg. Mechanics'!H18</f>
        <v>0</v>
      </c>
      <c r="G17" s="13">
        <f>FPL!H18</f>
        <v>0</v>
      </c>
      <c r="H17" s="14">
        <f>AVERAGE('Engg Mathematics'!I18+'Engg. Physics'!I18+'Basic Electrical'!I18+'Engg. Mechanics'!I18+FPL!I18)</f>
        <v>0</v>
      </c>
    </row>
    <row r="18" spans="1:8" x14ac:dyDescent="0.25">
      <c r="A18" s="13">
        <v>407</v>
      </c>
      <c r="B18" s="16" t="s">
        <v>39</v>
      </c>
      <c r="C18" s="13">
        <f>'Engg Mathematics'!H19</f>
        <v>0</v>
      </c>
      <c r="D18" s="13">
        <f>'Engg. Physics'!H19</f>
        <v>0</v>
      </c>
      <c r="E18" s="13">
        <f>'Basic Electrical'!H19</f>
        <v>0</v>
      </c>
      <c r="F18" s="13">
        <f>'Engg. Mechanics'!H19</f>
        <v>0</v>
      </c>
      <c r="G18" s="13">
        <f>FPL!H19</f>
        <v>0</v>
      </c>
      <c r="H18" s="14">
        <f>AVERAGE('Engg Mathematics'!I19+'Engg. Physics'!I19+'Basic Electrical'!I19+'Engg. Mechanics'!I19+FPL!I19)</f>
        <v>0</v>
      </c>
    </row>
    <row r="19" spans="1:8" x14ac:dyDescent="0.25">
      <c r="A19" s="13">
        <v>408</v>
      </c>
      <c r="B19" s="16" t="s">
        <v>40</v>
      </c>
      <c r="C19" s="13">
        <f>'Engg Mathematics'!H20</f>
        <v>0</v>
      </c>
      <c r="D19" s="13">
        <f>'Engg. Physics'!H20</f>
        <v>0</v>
      </c>
      <c r="E19" s="13">
        <f>'Basic Electrical'!H20</f>
        <v>0</v>
      </c>
      <c r="F19" s="13">
        <f>'Engg. Mechanics'!H20</f>
        <v>0</v>
      </c>
      <c r="G19" s="13">
        <f>FPL!H20</f>
        <v>0</v>
      </c>
      <c r="H19" s="14">
        <f>AVERAGE('Engg Mathematics'!I20+'Engg. Physics'!I20+'Basic Electrical'!I20+'Engg. Mechanics'!I20+FPL!I20)</f>
        <v>0</v>
      </c>
    </row>
    <row r="20" spans="1:8" x14ac:dyDescent="0.25">
      <c r="A20" s="13">
        <v>409</v>
      </c>
      <c r="B20" s="16" t="s">
        <v>41</v>
      </c>
      <c r="C20" s="13">
        <f>'Engg Mathematics'!H21</f>
        <v>0</v>
      </c>
      <c r="D20" s="13">
        <f>'Engg. Physics'!H21</f>
        <v>0</v>
      </c>
      <c r="E20" s="13">
        <f>'Basic Electrical'!H21</f>
        <v>0</v>
      </c>
      <c r="F20" s="13">
        <f>'Engg. Mechanics'!H21</f>
        <v>0</v>
      </c>
      <c r="G20" s="13">
        <f>FPL!H21</f>
        <v>0</v>
      </c>
      <c r="H20" s="14">
        <f>AVERAGE('Engg Mathematics'!I21+'Engg. Physics'!I21+'Basic Electrical'!I21+'Engg. Mechanics'!I21+FPL!I21)</f>
        <v>0</v>
      </c>
    </row>
    <row r="21" spans="1:8" x14ac:dyDescent="0.25">
      <c r="A21" s="13">
        <v>410</v>
      </c>
      <c r="B21" s="16" t="s">
        <v>42</v>
      </c>
      <c r="C21" s="13">
        <f>'Engg Mathematics'!H22</f>
        <v>0</v>
      </c>
      <c r="D21" s="13">
        <f>'Engg. Physics'!H22</f>
        <v>0</v>
      </c>
      <c r="E21" s="13">
        <f>'Basic Electrical'!H22</f>
        <v>0</v>
      </c>
      <c r="F21" s="13">
        <f>'Engg. Mechanics'!H22</f>
        <v>0</v>
      </c>
      <c r="G21" s="13">
        <f>FPL!H22</f>
        <v>0</v>
      </c>
      <c r="H21" s="14">
        <f>AVERAGE('Engg Mathematics'!I22+'Engg. Physics'!I22+'Basic Electrical'!I22+'Engg. Mechanics'!I22+FPL!I22)</f>
        <v>0</v>
      </c>
    </row>
    <row r="22" spans="1:8" x14ac:dyDescent="0.25">
      <c r="A22" s="13">
        <v>411</v>
      </c>
      <c r="B22" s="16" t="s">
        <v>43</v>
      </c>
      <c r="C22" s="13">
        <f>'Engg Mathematics'!H23</f>
        <v>0</v>
      </c>
      <c r="D22" s="13">
        <f>'Engg. Physics'!H23</f>
        <v>0</v>
      </c>
      <c r="E22" s="13">
        <f>'Basic Electrical'!H23</f>
        <v>0</v>
      </c>
      <c r="F22" s="13">
        <f>'Engg. Mechanics'!H23</f>
        <v>0</v>
      </c>
      <c r="G22" s="13">
        <f>FPL!H23</f>
        <v>0</v>
      </c>
      <c r="H22" s="14">
        <f>AVERAGE('Engg Mathematics'!I23+'Engg. Physics'!I23+'Basic Electrical'!I23+'Engg. Mechanics'!I23+FPL!I23)</f>
        <v>0</v>
      </c>
    </row>
    <row r="23" spans="1:8" x14ac:dyDescent="0.25">
      <c r="A23" s="13">
        <v>412</v>
      </c>
      <c r="B23" s="16" t="s">
        <v>44</v>
      </c>
      <c r="C23" s="13">
        <f>'Engg Mathematics'!H24</f>
        <v>0</v>
      </c>
      <c r="D23" s="13">
        <f>'Engg. Physics'!H24</f>
        <v>0</v>
      </c>
      <c r="E23" s="13">
        <f>'Basic Electrical'!H24</f>
        <v>0</v>
      </c>
      <c r="F23" s="13">
        <f>'Engg. Mechanics'!H24</f>
        <v>0</v>
      </c>
      <c r="G23" s="13">
        <f>FPL!H24</f>
        <v>0</v>
      </c>
      <c r="H23" s="14">
        <f>AVERAGE('Engg Mathematics'!I24+'Engg. Physics'!I24+'Basic Electrical'!I24+'Engg. Mechanics'!I24+FPL!I24)</f>
        <v>0</v>
      </c>
    </row>
    <row r="24" spans="1:8" x14ac:dyDescent="0.25">
      <c r="A24" s="13">
        <v>413</v>
      </c>
      <c r="B24" s="16" t="s">
        <v>45</v>
      </c>
      <c r="C24" s="13">
        <f>'Engg Mathematics'!H25</f>
        <v>0</v>
      </c>
      <c r="D24" s="13">
        <f>'Engg. Physics'!H25</f>
        <v>0</v>
      </c>
      <c r="E24" s="13">
        <f>'Basic Electrical'!H25</f>
        <v>0</v>
      </c>
      <c r="F24" s="13">
        <f>'Engg. Mechanics'!H25</f>
        <v>0</v>
      </c>
      <c r="G24" s="13">
        <f>FPL!H25</f>
        <v>0</v>
      </c>
      <c r="H24" s="14">
        <f>AVERAGE('Engg Mathematics'!I25+'Engg. Physics'!I25+'Basic Electrical'!I25+'Engg. Mechanics'!I25+FPL!I25)</f>
        <v>0</v>
      </c>
    </row>
    <row r="25" spans="1:8" x14ac:dyDescent="0.25">
      <c r="A25" s="13">
        <v>414</v>
      </c>
      <c r="B25" s="16" t="s">
        <v>46</v>
      </c>
      <c r="C25" s="13">
        <f>'Engg Mathematics'!H26</f>
        <v>0</v>
      </c>
      <c r="D25" s="13">
        <f>'Engg. Physics'!H26</f>
        <v>0</v>
      </c>
      <c r="E25" s="13">
        <f>'Basic Electrical'!H26</f>
        <v>0</v>
      </c>
      <c r="F25" s="13">
        <f>'Engg. Mechanics'!H26</f>
        <v>0</v>
      </c>
      <c r="G25" s="13">
        <f>FPL!H26</f>
        <v>0</v>
      </c>
      <c r="H25" s="14">
        <f>AVERAGE('Engg Mathematics'!I26+'Engg. Physics'!I26+'Basic Electrical'!I26+'Engg. Mechanics'!I26+FPL!I26)</f>
        <v>0</v>
      </c>
    </row>
    <row r="26" spans="1:8" x14ac:dyDescent="0.25">
      <c r="A26" s="13">
        <v>415</v>
      </c>
      <c r="B26" s="16" t="s">
        <v>47</v>
      </c>
      <c r="C26" s="13">
        <f>'Engg Mathematics'!H27</f>
        <v>0</v>
      </c>
      <c r="D26" s="13">
        <f>'Engg. Physics'!H27</f>
        <v>0</v>
      </c>
      <c r="E26" s="13">
        <f>'Basic Electrical'!H27</f>
        <v>0</v>
      </c>
      <c r="F26" s="13">
        <f>'Engg. Mechanics'!H27</f>
        <v>0</v>
      </c>
      <c r="G26" s="13">
        <f>FPL!H27</f>
        <v>0</v>
      </c>
      <c r="H26" s="14">
        <f>AVERAGE('Engg Mathematics'!I27+'Engg. Physics'!I27+'Basic Electrical'!I27+'Engg. Mechanics'!I27+FPL!I27)</f>
        <v>0</v>
      </c>
    </row>
    <row r="27" spans="1:8" x14ac:dyDescent="0.25">
      <c r="A27" s="13">
        <v>416</v>
      </c>
      <c r="B27" s="16" t="s">
        <v>48</v>
      </c>
      <c r="C27" s="13">
        <f>'Engg Mathematics'!H28</f>
        <v>0</v>
      </c>
      <c r="D27" s="13">
        <f>'Engg. Physics'!H28</f>
        <v>0</v>
      </c>
      <c r="E27" s="13">
        <f>'Basic Electrical'!H28</f>
        <v>0</v>
      </c>
      <c r="F27" s="13">
        <f>'Engg. Mechanics'!H28</f>
        <v>0</v>
      </c>
      <c r="G27" s="13">
        <f>FPL!H28</f>
        <v>0</v>
      </c>
      <c r="H27" s="14">
        <f>AVERAGE('Engg Mathematics'!I28+'Engg. Physics'!I28+'Basic Electrical'!I28+'Engg. Mechanics'!I28+FPL!I28)</f>
        <v>0</v>
      </c>
    </row>
    <row r="28" spans="1:8" x14ac:dyDescent="0.25">
      <c r="A28" s="13">
        <v>417</v>
      </c>
      <c r="B28" s="16" t="s">
        <v>49</v>
      </c>
      <c r="C28" s="13">
        <f>'Engg Mathematics'!H29</f>
        <v>0</v>
      </c>
      <c r="D28" s="13">
        <f>'Engg. Physics'!H29</f>
        <v>0</v>
      </c>
      <c r="E28" s="13">
        <f>'Basic Electrical'!H29</f>
        <v>0</v>
      </c>
      <c r="F28" s="13">
        <f>'Engg. Mechanics'!H29</f>
        <v>0</v>
      </c>
      <c r="G28" s="13">
        <f>FPL!H29</f>
        <v>0</v>
      </c>
      <c r="H28" s="14">
        <f>AVERAGE('Engg Mathematics'!I29+'Engg. Physics'!I29+'Basic Electrical'!I29+'Engg. Mechanics'!I29+FPL!I29)</f>
        <v>0</v>
      </c>
    </row>
    <row r="29" spans="1:8" x14ac:dyDescent="0.25">
      <c r="A29" s="13">
        <v>418</v>
      </c>
      <c r="B29" s="16" t="s">
        <v>50</v>
      </c>
      <c r="C29" s="13">
        <f>'Engg Mathematics'!H30</f>
        <v>0</v>
      </c>
      <c r="D29" s="13">
        <f>'Engg. Physics'!H30</f>
        <v>0</v>
      </c>
      <c r="E29" s="13">
        <f>'Basic Electrical'!H30</f>
        <v>0</v>
      </c>
      <c r="F29" s="13">
        <f>'Engg. Mechanics'!H30</f>
        <v>0</v>
      </c>
      <c r="G29" s="13">
        <f>FPL!H30</f>
        <v>0</v>
      </c>
      <c r="H29" s="14">
        <f>AVERAGE('Engg Mathematics'!I30+'Engg. Physics'!I30+'Basic Electrical'!I30+'Engg. Mechanics'!I30+FPL!I30)</f>
        <v>0</v>
      </c>
    </row>
    <row r="30" spans="1:8" x14ac:dyDescent="0.25">
      <c r="A30" s="13">
        <v>419</v>
      </c>
      <c r="B30" s="16" t="s">
        <v>51</v>
      </c>
      <c r="C30" s="13">
        <f>'Engg Mathematics'!H31</f>
        <v>0</v>
      </c>
      <c r="D30" s="13">
        <f>'Engg. Physics'!H31</f>
        <v>0</v>
      </c>
      <c r="E30" s="13">
        <f>'Basic Electrical'!H31</f>
        <v>0</v>
      </c>
      <c r="F30" s="13">
        <f>'Engg. Mechanics'!H31</f>
        <v>0</v>
      </c>
      <c r="G30" s="13">
        <f>FPL!H31</f>
        <v>0</v>
      </c>
      <c r="H30" s="14">
        <f>AVERAGE('Engg Mathematics'!I31+'Engg. Physics'!I31+'Basic Electrical'!I31+'Engg. Mechanics'!I31+FPL!I31)</f>
        <v>0</v>
      </c>
    </row>
    <row r="31" spans="1:8" x14ac:dyDescent="0.25">
      <c r="A31" s="13">
        <v>420</v>
      </c>
      <c r="B31" s="16" t="s">
        <v>52</v>
      </c>
      <c r="C31" s="13">
        <f>'Engg Mathematics'!H32</f>
        <v>0</v>
      </c>
      <c r="D31" s="13">
        <f>'Engg. Physics'!H32</f>
        <v>0</v>
      </c>
      <c r="E31" s="13">
        <f>'Basic Electrical'!H32</f>
        <v>0</v>
      </c>
      <c r="F31" s="13">
        <f>'Engg. Mechanics'!H32</f>
        <v>0</v>
      </c>
      <c r="G31" s="13">
        <f>FPL!H32</f>
        <v>0</v>
      </c>
      <c r="H31" s="14">
        <f>AVERAGE('Engg Mathematics'!I32+'Engg. Physics'!I32+'Basic Electrical'!I32+'Engg. Mechanics'!I32+FPL!I32)</f>
        <v>0</v>
      </c>
    </row>
    <row r="32" spans="1:8" x14ac:dyDescent="0.25">
      <c r="A32" s="13">
        <v>421</v>
      </c>
      <c r="B32" s="16" t="s">
        <v>53</v>
      </c>
      <c r="C32" s="13">
        <f>'Engg Mathematics'!H33</f>
        <v>0</v>
      </c>
      <c r="D32" s="13">
        <f>'Engg. Physics'!H33</f>
        <v>0</v>
      </c>
      <c r="E32" s="13">
        <f>'Basic Electrical'!H33</f>
        <v>0</v>
      </c>
      <c r="F32" s="13">
        <f>'Engg. Mechanics'!H33</f>
        <v>0</v>
      </c>
      <c r="G32" s="13">
        <f>FPL!H33</f>
        <v>0</v>
      </c>
      <c r="H32" s="14">
        <f>AVERAGE('Engg Mathematics'!I33+'Engg. Physics'!I33+'Basic Electrical'!I33+'Engg. Mechanics'!I33+FPL!I33)</f>
        <v>0</v>
      </c>
    </row>
    <row r="33" spans="1:8" x14ac:dyDescent="0.25">
      <c r="A33" s="13">
        <v>422</v>
      </c>
      <c r="B33" s="16" t="s">
        <v>54</v>
      </c>
      <c r="C33" s="13">
        <f>'Engg Mathematics'!H34</f>
        <v>0</v>
      </c>
      <c r="D33" s="13">
        <f>'Engg. Physics'!H34</f>
        <v>0</v>
      </c>
      <c r="E33" s="13">
        <f>'Basic Electrical'!H34</f>
        <v>0</v>
      </c>
      <c r="F33" s="13">
        <f>'Engg. Mechanics'!H34</f>
        <v>0</v>
      </c>
      <c r="G33" s="13">
        <f>FPL!H34</f>
        <v>0</v>
      </c>
      <c r="H33" s="14">
        <f>AVERAGE('Engg Mathematics'!I34+'Engg. Physics'!I34+'Basic Electrical'!I34+'Engg. Mechanics'!I34+FPL!I34)</f>
        <v>0</v>
      </c>
    </row>
    <row r="34" spans="1:8" x14ac:dyDescent="0.25">
      <c r="A34" s="13">
        <v>423</v>
      </c>
      <c r="B34" s="16" t="s">
        <v>55</v>
      </c>
      <c r="C34" s="13">
        <f>'Engg Mathematics'!H35</f>
        <v>0</v>
      </c>
      <c r="D34" s="13">
        <f>'Engg. Physics'!H35</f>
        <v>0</v>
      </c>
      <c r="E34" s="13">
        <f>'Basic Electrical'!H35</f>
        <v>0</v>
      </c>
      <c r="F34" s="13">
        <f>'Engg. Mechanics'!H35</f>
        <v>0</v>
      </c>
      <c r="G34" s="13">
        <f>FPL!H35</f>
        <v>0</v>
      </c>
      <c r="H34" s="14">
        <f>AVERAGE('Engg Mathematics'!I35+'Engg. Physics'!I35+'Basic Electrical'!I35+'Engg. Mechanics'!I35+FPL!I35)</f>
        <v>0</v>
      </c>
    </row>
    <row r="35" spans="1:8" x14ac:dyDescent="0.25">
      <c r="A35" s="13">
        <v>424</v>
      </c>
      <c r="B35" s="16" t="s">
        <v>56</v>
      </c>
      <c r="C35" s="13">
        <f>'Engg Mathematics'!H36</f>
        <v>0</v>
      </c>
      <c r="D35" s="13">
        <f>'Engg. Physics'!H36</f>
        <v>0</v>
      </c>
      <c r="E35" s="13">
        <f>'Basic Electrical'!H36</f>
        <v>0</v>
      </c>
      <c r="F35" s="13">
        <f>'Engg. Mechanics'!H36</f>
        <v>0</v>
      </c>
      <c r="G35" s="13">
        <f>FPL!H36</f>
        <v>0</v>
      </c>
      <c r="H35" s="14">
        <f>AVERAGE('Engg Mathematics'!I36+'Engg. Physics'!I36+'Basic Electrical'!I36+'Engg. Mechanics'!I36+FPL!I36)</f>
        <v>0</v>
      </c>
    </row>
    <row r="36" spans="1:8" x14ac:dyDescent="0.25">
      <c r="A36" s="13">
        <v>425</v>
      </c>
      <c r="B36" s="16" t="s">
        <v>57</v>
      </c>
      <c r="C36" s="13">
        <f>'Engg Mathematics'!H37</f>
        <v>0</v>
      </c>
      <c r="D36" s="13">
        <f>'Engg. Physics'!H37</f>
        <v>0</v>
      </c>
      <c r="E36" s="13">
        <f>'Basic Electrical'!H37</f>
        <v>0</v>
      </c>
      <c r="F36" s="13">
        <f>'Engg. Mechanics'!H37</f>
        <v>0</v>
      </c>
      <c r="G36" s="13">
        <f>FPL!H37</f>
        <v>0</v>
      </c>
      <c r="H36" s="14">
        <f>AVERAGE('Engg Mathematics'!I37+'Engg. Physics'!I37+'Basic Electrical'!I37+'Engg. Mechanics'!I37+FPL!I37)</f>
        <v>0</v>
      </c>
    </row>
    <row r="37" spans="1:8" x14ac:dyDescent="0.25">
      <c r="A37" s="13">
        <v>426</v>
      </c>
      <c r="B37" s="16" t="s">
        <v>58</v>
      </c>
      <c r="C37" s="13">
        <f>'Engg Mathematics'!H38</f>
        <v>0</v>
      </c>
      <c r="D37" s="13">
        <f>'Engg. Physics'!H38</f>
        <v>0</v>
      </c>
      <c r="E37" s="13">
        <f>'Basic Electrical'!H38</f>
        <v>0</v>
      </c>
      <c r="F37" s="13">
        <f>'Engg. Mechanics'!H38</f>
        <v>0</v>
      </c>
      <c r="G37" s="13">
        <f>FPL!H38</f>
        <v>0</v>
      </c>
      <c r="H37" s="14">
        <f>AVERAGE('Engg Mathematics'!I38+'Engg. Physics'!I38+'Basic Electrical'!I38+'Engg. Mechanics'!I38+FPL!I38)</f>
        <v>0</v>
      </c>
    </row>
    <row r="38" spans="1:8" x14ac:dyDescent="0.25">
      <c r="A38" s="13">
        <v>427</v>
      </c>
      <c r="B38" s="16" t="s">
        <v>59</v>
      </c>
      <c r="C38" s="13">
        <f>'Engg Mathematics'!H39</f>
        <v>0</v>
      </c>
      <c r="D38" s="13">
        <f>'Engg. Physics'!H39</f>
        <v>0</v>
      </c>
      <c r="E38" s="13">
        <f>'Basic Electrical'!H39</f>
        <v>0</v>
      </c>
      <c r="F38" s="13">
        <f>'Engg. Mechanics'!H39</f>
        <v>0</v>
      </c>
      <c r="G38" s="13">
        <f>FPL!H39</f>
        <v>0</v>
      </c>
      <c r="H38" s="14">
        <f>AVERAGE('Engg Mathematics'!I39+'Engg. Physics'!I39+'Basic Electrical'!I39+'Engg. Mechanics'!I39+FPL!I39)</f>
        <v>0</v>
      </c>
    </row>
    <row r="39" spans="1:8" x14ac:dyDescent="0.25">
      <c r="A39" s="13">
        <v>428</v>
      </c>
      <c r="B39" s="16" t="s">
        <v>60</v>
      </c>
      <c r="C39" s="13">
        <f>'Engg Mathematics'!H40</f>
        <v>0</v>
      </c>
      <c r="D39" s="13">
        <f>'Engg. Physics'!H40</f>
        <v>0</v>
      </c>
      <c r="E39" s="13">
        <f>'Basic Electrical'!H40</f>
        <v>0</v>
      </c>
      <c r="F39" s="13">
        <f>'Engg. Mechanics'!H40</f>
        <v>0</v>
      </c>
      <c r="G39" s="13">
        <f>FPL!H40</f>
        <v>0</v>
      </c>
      <c r="H39" s="14">
        <f>AVERAGE('Engg Mathematics'!I40+'Engg. Physics'!I40+'Basic Electrical'!I40+'Engg. Mechanics'!I40+FPL!I40)</f>
        <v>0</v>
      </c>
    </row>
    <row r="40" spans="1:8" x14ac:dyDescent="0.25">
      <c r="A40" s="13">
        <v>429</v>
      </c>
      <c r="B40" s="16" t="s">
        <v>61</v>
      </c>
      <c r="C40" s="13">
        <f>'Engg Mathematics'!H41</f>
        <v>0</v>
      </c>
      <c r="D40" s="13">
        <f>'Engg. Physics'!H41</f>
        <v>0</v>
      </c>
      <c r="E40" s="13">
        <f>'Basic Electrical'!H41</f>
        <v>0</v>
      </c>
      <c r="F40" s="13">
        <f>'Engg. Mechanics'!H41</f>
        <v>0</v>
      </c>
      <c r="G40" s="13">
        <f>FPL!H41</f>
        <v>0</v>
      </c>
      <c r="H40" s="14">
        <f>AVERAGE('Engg Mathematics'!I41+'Engg. Physics'!I41+'Basic Electrical'!I41+'Engg. Mechanics'!I41+FPL!I41)</f>
        <v>0</v>
      </c>
    </row>
    <row r="41" spans="1:8" x14ac:dyDescent="0.25">
      <c r="A41" s="13">
        <v>430</v>
      </c>
      <c r="B41" s="16" t="s">
        <v>62</v>
      </c>
      <c r="C41" s="13">
        <f>'Engg Mathematics'!H42</f>
        <v>0</v>
      </c>
      <c r="D41" s="13">
        <f>'Engg. Physics'!H42</f>
        <v>0</v>
      </c>
      <c r="E41" s="13">
        <f>'Basic Electrical'!H42</f>
        <v>0</v>
      </c>
      <c r="F41" s="13">
        <f>'Engg. Mechanics'!H42</f>
        <v>0</v>
      </c>
      <c r="G41" s="13">
        <f>FPL!H42</f>
        <v>0</v>
      </c>
      <c r="H41" s="14">
        <f>AVERAGE('Engg Mathematics'!I42+'Engg. Physics'!I42+'Basic Electrical'!I42+'Engg. Mechanics'!I42+FPL!I42)</f>
        <v>0</v>
      </c>
    </row>
    <row r="42" spans="1:8" x14ac:dyDescent="0.25">
      <c r="A42" s="13">
        <v>431</v>
      </c>
      <c r="B42" s="16" t="s">
        <v>63</v>
      </c>
      <c r="C42" s="13">
        <f>'Engg Mathematics'!H43</f>
        <v>0</v>
      </c>
      <c r="D42" s="13">
        <f>'Engg. Physics'!H43</f>
        <v>0</v>
      </c>
      <c r="E42" s="13">
        <f>'Basic Electrical'!H43</f>
        <v>0</v>
      </c>
      <c r="F42" s="13">
        <f>'Engg. Mechanics'!H43</f>
        <v>0</v>
      </c>
      <c r="G42" s="13">
        <f>FPL!H43</f>
        <v>0</v>
      </c>
      <c r="H42" s="14">
        <f>AVERAGE('Engg Mathematics'!I43+'Engg. Physics'!I43+'Basic Electrical'!I43+'Engg. Mechanics'!I43+FPL!I43)</f>
        <v>0</v>
      </c>
    </row>
    <row r="43" spans="1:8" x14ac:dyDescent="0.25">
      <c r="A43" s="13">
        <v>432</v>
      </c>
      <c r="B43" s="16" t="s">
        <v>64</v>
      </c>
      <c r="C43" s="13">
        <f>'Engg Mathematics'!H44</f>
        <v>0</v>
      </c>
      <c r="D43" s="13">
        <f>'Engg. Physics'!H44</f>
        <v>0</v>
      </c>
      <c r="E43" s="13">
        <f>'Basic Electrical'!H44</f>
        <v>0</v>
      </c>
      <c r="F43" s="13">
        <f>'Engg. Mechanics'!H44</f>
        <v>0</v>
      </c>
      <c r="G43" s="13">
        <f>FPL!H44</f>
        <v>0</v>
      </c>
      <c r="H43" s="14">
        <f>AVERAGE('Engg Mathematics'!I44+'Engg. Physics'!I44+'Basic Electrical'!I44+'Engg. Mechanics'!I44+FPL!I44)</f>
        <v>0</v>
      </c>
    </row>
    <row r="44" spans="1:8" x14ac:dyDescent="0.25">
      <c r="A44" s="13">
        <v>433</v>
      </c>
      <c r="B44" s="16" t="s">
        <v>65</v>
      </c>
      <c r="C44" s="13">
        <f>'Engg Mathematics'!H45</f>
        <v>0</v>
      </c>
      <c r="D44" s="13">
        <f>'Engg. Physics'!H45</f>
        <v>0</v>
      </c>
      <c r="E44" s="13">
        <f>'Basic Electrical'!H45</f>
        <v>0</v>
      </c>
      <c r="F44" s="13">
        <f>'Engg. Mechanics'!H45</f>
        <v>0</v>
      </c>
      <c r="G44" s="13">
        <f>FPL!H45</f>
        <v>0</v>
      </c>
      <c r="H44" s="14">
        <f>AVERAGE('Engg Mathematics'!I45+'Engg. Physics'!I45+'Basic Electrical'!I45+'Engg. Mechanics'!I45+FPL!I45)</f>
        <v>0</v>
      </c>
    </row>
    <row r="45" spans="1:8" x14ac:dyDescent="0.25">
      <c r="A45" s="13">
        <v>434</v>
      </c>
      <c r="B45" s="16" t="s">
        <v>66</v>
      </c>
      <c r="C45" s="13">
        <f>'Engg Mathematics'!H46</f>
        <v>0</v>
      </c>
      <c r="D45" s="13">
        <f>'Engg. Physics'!H46</f>
        <v>0</v>
      </c>
      <c r="E45" s="13">
        <f>'Basic Electrical'!H46</f>
        <v>0</v>
      </c>
      <c r="F45" s="13">
        <f>'Engg. Mechanics'!H46</f>
        <v>0</v>
      </c>
      <c r="G45" s="13">
        <f>FPL!H46</f>
        <v>0</v>
      </c>
      <c r="H45" s="14">
        <f>AVERAGE('Engg Mathematics'!I46+'Engg. Physics'!I46+'Basic Electrical'!I46+'Engg. Mechanics'!I46+FPL!I46)</f>
        <v>0</v>
      </c>
    </row>
    <row r="46" spans="1:8" x14ac:dyDescent="0.25">
      <c r="A46" s="13">
        <v>435</v>
      </c>
      <c r="B46" s="16" t="s">
        <v>67</v>
      </c>
      <c r="C46" s="13">
        <f>'Engg Mathematics'!H47</f>
        <v>0</v>
      </c>
      <c r="D46" s="13">
        <f>'Engg. Physics'!H47</f>
        <v>0</v>
      </c>
      <c r="E46" s="13">
        <f>'Basic Electrical'!H47</f>
        <v>0</v>
      </c>
      <c r="F46" s="13">
        <f>'Engg. Mechanics'!H47</f>
        <v>0</v>
      </c>
      <c r="G46" s="13">
        <f>FPL!H47</f>
        <v>0</v>
      </c>
      <c r="H46" s="14">
        <f>AVERAGE('Engg Mathematics'!I47+'Engg. Physics'!I47+'Basic Electrical'!I47+'Engg. Mechanics'!I47+FPL!I47)</f>
        <v>0</v>
      </c>
    </row>
    <row r="47" spans="1:8" x14ac:dyDescent="0.25">
      <c r="A47" s="13">
        <v>436</v>
      </c>
      <c r="B47" s="16" t="s">
        <v>68</v>
      </c>
      <c r="C47" s="13">
        <f>'Engg Mathematics'!H48</f>
        <v>0</v>
      </c>
      <c r="D47" s="13">
        <f>'Engg. Physics'!H48</f>
        <v>0</v>
      </c>
      <c r="E47" s="13">
        <f>'Basic Electrical'!H48</f>
        <v>0</v>
      </c>
      <c r="F47" s="13">
        <f>'Engg. Mechanics'!H48</f>
        <v>0</v>
      </c>
      <c r="G47" s="13">
        <f>FPL!H48</f>
        <v>0</v>
      </c>
      <c r="H47" s="14">
        <f>AVERAGE('Engg Mathematics'!I48+'Engg. Physics'!I48+'Basic Electrical'!I48+'Engg. Mechanics'!I48+FPL!I48)</f>
        <v>0</v>
      </c>
    </row>
    <row r="48" spans="1:8" x14ac:dyDescent="0.25">
      <c r="A48" s="13">
        <v>437</v>
      </c>
      <c r="B48" s="16" t="s">
        <v>69</v>
      </c>
      <c r="C48" s="13">
        <f>'Engg Mathematics'!H49</f>
        <v>0</v>
      </c>
      <c r="D48" s="13">
        <f>'Engg. Physics'!H49</f>
        <v>0</v>
      </c>
      <c r="E48" s="13">
        <f>'Basic Electrical'!H49</f>
        <v>0</v>
      </c>
      <c r="F48" s="13">
        <f>'Engg. Mechanics'!H49</f>
        <v>0</v>
      </c>
      <c r="G48" s="13">
        <f>FPL!H49</f>
        <v>0</v>
      </c>
      <c r="H48" s="14">
        <f>AVERAGE('Engg Mathematics'!I49+'Engg. Physics'!I49+'Basic Electrical'!I49+'Engg. Mechanics'!I49+FPL!I49)</f>
        <v>0</v>
      </c>
    </row>
    <row r="49" spans="1:8" x14ac:dyDescent="0.25">
      <c r="A49" s="13">
        <v>438</v>
      </c>
      <c r="B49" s="16" t="s">
        <v>70</v>
      </c>
      <c r="C49" s="13">
        <f>'Engg Mathematics'!H50</f>
        <v>0</v>
      </c>
      <c r="D49" s="13">
        <f>'Engg. Physics'!H50</f>
        <v>0</v>
      </c>
      <c r="E49" s="13">
        <f>'Basic Electrical'!H50</f>
        <v>0</v>
      </c>
      <c r="F49" s="13">
        <f>'Engg. Mechanics'!H50</f>
        <v>0</v>
      </c>
      <c r="G49" s="13">
        <f>FPL!H50</f>
        <v>0</v>
      </c>
      <c r="H49" s="14">
        <f>AVERAGE('Engg Mathematics'!I50+'Engg. Physics'!I50+'Basic Electrical'!I50+'Engg. Mechanics'!I50+FPL!I50)</f>
        <v>0</v>
      </c>
    </row>
    <row r="50" spans="1:8" x14ac:dyDescent="0.25">
      <c r="A50" s="13">
        <v>439</v>
      </c>
      <c r="B50" s="16" t="s">
        <v>71</v>
      </c>
      <c r="C50" s="13">
        <f>'Engg Mathematics'!H51</f>
        <v>0</v>
      </c>
      <c r="D50" s="13">
        <f>'Engg. Physics'!H51</f>
        <v>0</v>
      </c>
      <c r="E50" s="13">
        <f>'Basic Electrical'!H51</f>
        <v>0</v>
      </c>
      <c r="F50" s="13">
        <f>'Engg. Mechanics'!H51</f>
        <v>0</v>
      </c>
      <c r="G50" s="13">
        <f>FPL!H51</f>
        <v>0</v>
      </c>
      <c r="H50" s="14">
        <f>AVERAGE('Engg Mathematics'!I51+'Engg. Physics'!I51+'Basic Electrical'!I51+'Engg. Mechanics'!I51+FPL!I51)</f>
        <v>0</v>
      </c>
    </row>
    <row r="51" spans="1:8" x14ac:dyDescent="0.25">
      <c r="A51" s="13">
        <v>440</v>
      </c>
      <c r="B51" s="16" t="s">
        <v>72</v>
      </c>
      <c r="C51" s="13">
        <f>'Engg Mathematics'!H52</f>
        <v>0</v>
      </c>
      <c r="D51" s="13">
        <f>'Engg. Physics'!H52</f>
        <v>0</v>
      </c>
      <c r="E51" s="13">
        <f>'Basic Electrical'!H52</f>
        <v>0</v>
      </c>
      <c r="F51" s="13">
        <f>'Engg. Mechanics'!H52</f>
        <v>0</v>
      </c>
      <c r="G51" s="13">
        <f>FPL!H52</f>
        <v>0</v>
      </c>
      <c r="H51" s="14">
        <f>AVERAGE('Engg Mathematics'!I52+'Engg. Physics'!I52+'Basic Electrical'!I52+'Engg. Mechanics'!I52+FPL!I52)</f>
        <v>0</v>
      </c>
    </row>
    <row r="52" spans="1:8" x14ac:dyDescent="0.25">
      <c r="A52" s="13">
        <v>441</v>
      </c>
      <c r="B52" s="16" t="s">
        <v>73</v>
      </c>
      <c r="C52" s="13">
        <f>'Engg Mathematics'!H53</f>
        <v>0</v>
      </c>
      <c r="D52" s="13">
        <f>'Engg. Physics'!H53</f>
        <v>0</v>
      </c>
      <c r="E52" s="13">
        <f>'Basic Electrical'!H53</f>
        <v>0</v>
      </c>
      <c r="F52" s="13">
        <f>'Engg. Mechanics'!H53</f>
        <v>0</v>
      </c>
      <c r="G52" s="13">
        <f>FPL!H53</f>
        <v>0</v>
      </c>
      <c r="H52" s="14">
        <f>AVERAGE('Engg Mathematics'!I53+'Engg. Physics'!I53+'Basic Electrical'!I53+'Engg. Mechanics'!I53+FPL!I53)</f>
        <v>0</v>
      </c>
    </row>
    <row r="53" spans="1:8" x14ac:dyDescent="0.25">
      <c r="A53" s="13">
        <v>442</v>
      </c>
      <c r="B53" s="16" t="s">
        <v>74</v>
      </c>
      <c r="C53" s="13">
        <f>'Engg Mathematics'!H54</f>
        <v>0</v>
      </c>
      <c r="D53" s="13">
        <f>'Engg. Physics'!H54</f>
        <v>0</v>
      </c>
      <c r="E53" s="13">
        <f>'Basic Electrical'!H54</f>
        <v>0</v>
      </c>
      <c r="F53" s="13">
        <f>'Engg. Mechanics'!H54</f>
        <v>0</v>
      </c>
      <c r="G53" s="13">
        <f>FPL!H54</f>
        <v>0</v>
      </c>
      <c r="H53" s="14">
        <f>AVERAGE('Engg Mathematics'!I54+'Engg. Physics'!I54+'Basic Electrical'!I54+'Engg. Mechanics'!I54+FPL!I54)</f>
        <v>0</v>
      </c>
    </row>
    <row r="54" spans="1:8" x14ac:dyDescent="0.25">
      <c r="A54" s="13">
        <v>443</v>
      </c>
      <c r="B54" s="16" t="s">
        <v>75</v>
      </c>
      <c r="C54" s="13">
        <f>'Engg Mathematics'!H55</f>
        <v>0</v>
      </c>
      <c r="D54" s="13">
        <f>'Engg. Physics'!H55</f>
        <v>0</v>
      </c>
      <c r="E54" s="13">
        <f>'Basic Electrical'!H55</f>
        <v>0</v>
      </c>
      <c r="F54" s="13">
        <f>'Engg. Mechanics'!H55</f>
        <v>0</v>
      </c>
      <c r="G54" s="13">
        <f>FPL!H55</f>
        <v>0</v>
      </c>
      <c r="H54" s="14">
        <f>AVERAGE('Engg Mathematics'!I55+'Engg. Physics'!I55+'Basic Electrical'!I55+'Engg. Mechanics'!I55+FPL!I55)</f>
        <v>0</v>
      </c>
    </row>
    <row r="55" spans="1:8" x14ac:dyDescent="0.25">
      <c r="A55" s="13">
        <v>444</v>
      </c>
      <c r="B55" s="16" t="s">
        <v>76</v>
      </c>
      <c r="C55" s="13">
        <f>'Engg Mathematics'!H56</f>
        <v>0</v>
      </c>
      <c r="D55" s="13">
        <f>'Engg. Physics'!H56</f>
        <v>0</v>
      </c>
      <c r="E55" s="13">
        <f>'Basic Electrical'!H56</f>
        <v>0</v>
      </c>
      <c r="F55" s="13">
        <f>'Engg. Mechanics'!H56</f>
        <v>0</v>
      </c>
      <c r="G55" s="13">
        <f>FPL!H56</f>
        <v>0</v>
      </c>
      <c r="H55" s="14">
        <f>AVERAGE('Engg Mathematics'!I56+'Engg. Physics'!I56+'Basic Electrical'!I56+'Engg. Mechanics'!I56+FPL!I56)</f>
        <v>0</v>
      </c>
    </row>
    <row r="56" spans="1:8" x14ac:dyDescent="0.25">
      <c r="A56" s="13">
        <v>445</v>
      </c>
      <c r="B56" s="16" t="s">
        <v>77</v>
      </c>
      <c r="C56" s="13">
        <f>'Engg Mathematics'!H57</f>
        <v>0</v>
      </c>
      <c r="D56" s="13">
        <f>'Engg. Physics'!H57</f>
        <v>0</v>
      </c>
      <c r="E56" s="13">
        <f>'Basic Electrical'!H57</f>
        <v>0</v>
      </c>
      <c r="F56" s="13">
        <f>'Engg. Mechanics'!H57</f>
        <v>0</v>
      </c>
      <c r="G56" s="13">
        <f>FPL!H57</f>
        <v>0</v>
      </c>
      <c r="H56" s="14">
        <f>AVERAGE('Engg Mathematics'!I57+'Engg. Physics'!I57+'Basic Electrical'!I57+'Engg. Mechanics'!I57+FPL!I57)</f>
        <v>0</v>
      </c>
    </row>
    <row r="57" spans="1:8" x14ac:dyDescent="0.25">
      <c r="A57" s="13">
        <v>446</v>
      </c>
      <c r="B57" s="16" t="s">
        <v>78</v>
      </c>
      <c r="C57" s="13">
        <f>'Engg Mathematics'!H58</f>
        <v>0</v>
      </c>
      <c r="D57" s="13">
        <f>'Engg. Physics'!H58</f>
        <v>0</v>
      </c>
      <c r="E57" s="13">
        <f>'Basic Electrical'!H58</f>
        <v>0</v>
      </c>
      <c r="F57" s="13">
        <f>'Engg. Mechanics'!H58</f>
        <v>0</v>
      </c>
      <c r="G57" s="13">
        <f>FPL!H58</f>
        <v>0</v>
      </c>
      <c r="H57" s="14">
        <f>AVERAGE('Engg Mathematics'!I58+'Engg. Physics'!I58+'Basic Electrical'!I58+'Engg. Mechanics'!I58+FPL!I58)</f>
        <v>0</v>
      </c>
    </row>
    <row r="58" spans="1:8" x14ac:dyDescent="0.25">
      <c r="A58" s="13">
        <v>447</v>
      </c>
      <c r="B58" s="16" t="s">
        <v>79</v>
      </c>
      <c r="C58" s="13">
        <f>'Engg Mathematics'!H59</f>
        <v>0</v>
      </c>
      <c r="D58" s="13">
        <f>'Engg. Physics'!H59</f>
        <v>0</v>
      </c>
      <c r="E58" s="13">
        <f>'Basic Electrical'!H59</f>
        <v>0</v>
      </c>
      <c r="F58" s="13">
        <f>'Engg. Mechanics'!H59</f>
        <v>0</v>
      </c>
      <c r="G58" s="13">
        <f>FPL!H59</f>
        <v>0</v>
      </c>
      <c r="H58" s="14">
        <f>AVERAGE('Engg Mathematics'!I59+'Engg. Physics'!I59+'Basic Electrical'!I59+'Engg. Mechanics'!I59+FPL!I59)</f>
        <v>0</v>
      </c>
    </row>
    <row r="59" spans="1:8" x14ac:dyDescent="0.25">
      <c r="A59" s="13">
        <v>448</v>
      </c>
      <c r="B59" s="16" t="s">
        <v>80</v>
      </c>
      <c r="C59" s="13">
        <f>'Engg Mathematics'!H60</f>
        <v>0</v>
      </c>
      <c r="D59" s="13">
        <f>'Engg. Physics'!H60</f>
        <v>0</v>
      </c>
      <c r="E59" s="13">
        <f>'Basic Electrical'!H60</f>
        <v>0</v>
      </c>
      <c r="F59" s="13">
        <f>'Engg. Mechanics'!H60</f>
        <v>0</v>
      </c>
      <c r="G59" s="13">
        <f>FPL!H60</f>
        <v>0</v>
      </c>
      <c r="H59" s="14">
        <f>AVERAGE('Engg Mathematics'!I60+'Engg. Physics'!I60+'Basic Electrical'!I60+'Engg. Mechanics'!I60+FPL!I60)</f>
        <v>0</v>
      </c>
    </row>
    <row r="60" spans="1:8" x14ac:dyDescent="0.25">
      <c r="A60" s="13">
        <v>449</v>
      </c>
      <c r="B60" s="16" t="s">
        <v>81</v>
      </c>
      <c r="C60" s="13">
        <f>'Engg Mathematics'!H61</f>
        <v>0</v>
      </c>
      <c r="D60" s="13">
        <f>'Engg. Physics'!H61</f>
        <v>0</v>
      </c>
      <c r="E60" s="13">
        <f>'Basic Electrical'!H61</f>
        <v>0</v>
      </c>
      <c r="F60" s="13">
        <f>'Engg. Mechanics'!H61</f>
        <v>0</v>
      </c>
      <c r="G60" s="13">
        <f>FPL!H61</f>
        <v>0</v>
      </c>
      <c r="H60" s="14">
        <f>AVERAGE('Engg Mathematics'!I61+'Engg. Physics'!I61+'Basic Electrical'!I61+'Engg. Mechanics'!I61+FPL!I61)</f>
        <v>0</v>
      </c>
    </row>
    <row r="61" spans="1:8" x14ac:dyDescent="0.25">
      <c r="A61" s="13">
        <v>450</v>
      </c>
      <c r="B61" s="16" t="s">
        <v>82</v>
      </c>
      <c r="C61" s="13">
        <f>'Engg Mathematics'!H62</f>
        <v>0</v>
      </c>
      <c r="D61" s="13">
        <f>'Engg. Physics'!H62</f>
        <v>0</v>
      </c>
      <c r="E61" s="13">
        <f>'Basic Electrical'!H62</f>
        <v>0</v>
      </c>
      <c r="F61" s="13">
        <f>'Engg. Mechanics'!H62</f>
        <v>0</v>
      </c>
      <c r="G61" s="13">
        <f>FPL!H62</f>
        <v>0</v>
      </c>
      <c r="H61" s="14">
        <f>AVERAGE('Engg Mathematics'!I62+'Engg. Physics'!I62+'Basic Electrical'!I62+'Engg. Mechanics'!I62+FPL!I62)</f>
        <v>0</v>
      </c>
    </row>
    <row r="62" spans="1:8" x14ac:dyDescent="0.25">
      <c r="A62" s="13">
        <v>451</v>
      </c>
      <c r="B62" s="16" t="s">
        <v>83</v>
      </c>
      <c r="C62" s="13">
        <f>'Engg Mathematics'!H63</f>
        <v>0</v>
      </c>
      <c r="D62" s="13">
        <f>'Engg. Physics'!H63</f>
        <v>0</v>
      </c>
      <c r="E62" s="13">
        <f>'Basic Electrical'!H63</f>
        <v>0</v>
      </c>
      <c r="F62" s="13">
        <f>'Engg. Mechanics'!H63</f>
        <v>0</v>
      </c>
      <c r="G62" s="13">
        <f>FPL!H63</f>
        <v>0</v>
      </c>
      <c r="H62" s="14">
        <f>AVERAGE('Engg Mathematics'!I63+'Engg. Physics'!I63+'Basic Electrical'!I63+'Engg. Mechanics'!I63+FPL!I63)</f>
        <v>0</v>
      </c>
    </row>
    <row r="63" spans="1:8" x14ac:dyDescent="0.25">
      <c r="A63" s="13">
        <v>452</v>
      </c>
      <c r="B63" s="16" t="s">
        <v>84</v>
      </c>
      <c r="C63" s="13">
        <f>'Engg Mathematics'!H64</f>
        <v>0</v>
      </c>
      <c r="D63" s="13">
        <f>'Engg. Physics'!H64</f>
        <v>0</v>
      </c>
      <c r="E63" s="13">
        <f>'Basic Electrical'!H64</f>
        <v>0</v>
      </c>
      <c r="F63" s="13">
        <f>'Engg. Mechanics'!H64</f>
        <v>0</v>
      </c>
      <c r="G63" s="13">
        <f>FPL!H64</f>
        <v>0</v>
      </c>
      <c r="H63" s="14">
        <f>AVERAGE('Engg Mathematics'!I64+'Engg. Physics'!I64+'Basic Electrical'!I64+'Engg. Mechanics'!I64+FPL!I64)</f>
        <v>0</v>
      </c>
    </row>
    <row r="64" spans="1:8" x14ac:dyDescent="0.25">
      <c r="A64" s="13">
        <v>453</v>
      </c>
      <c r="B64" s="16" t="s">
        <v>85</v>
      </c>
      <c r="C64" s="13">
        <f>'Engg Mathematics'!H65</f>
        <v>0</v>
      </c>
      <c r="D64" s="13">
        <f>'Engg. Physics'!H65</f>
        <v>0</v>
      </c>
      <c r="E64" s="13">
        <f>'Basic Electrical'!H65</f>
        <v>0</v>
      </c>
      <c r="F64" s="13">
        <f>'Engg. Mechanics'!H65</f>
        <v>0</v>
      </c>
      <c r="G64" s="13">
        <f>FPL!H65</f>
        <v>0</v>
      </c>
      <c r="H64" s="14">
        <f>AVERAGE('Engg Mathematics'!I65+'Engg. Physics'!I65+'Basic Electrical'!I65+'Engg. Mechanics'!I65+FPL!I65)</f>
        <v>0</v>
      </c>
    </row>
    <row r="65" spans="1:8" x14ac:dyDescent="0.25">
      <c r="A65" s="13">
        <v>454</v>
      </c>
      <c r="B65" s="16" t="s">
        <v>86</v>
      </c>
      <c r="C65" s="13">
        <f>'Engg Mathematics'!H66</f>
        <v>0</v>
      </c>
      <c r="D65" s="13">
        <f>'Engg. Physics'!H66</f>
        <v>0</v>
      </c>
      <c r="E65" s="13">
        <f>'Basic Electrical'!H66</f>
        <v>0</v>
      </c>
      <c r="F65" s="13">
        <f>'Engg. Mechanics'!H66</f>
        <v>0</v>
      </c>
      <c r="G65" s="13">
        <f>FPL!H66</f>
        <v>0</v>
      </c>
      <c r="H65" s="14">
        <f>AVERAGE('Engg Mathematics'!I66+'Engg. Physics'!I66+'Basic Electrical'!I66+'Engg. Mechanics'!I66+FPL!I66)</f>
        <v>0</v>
      </c>
    </row>
    <row r="66" spans="1:8" x14ac:dyDescent="0.25">
      <c r="A66" s="13">
        <v>455</v>
      </c>
      <c r="B66" s="16" t="s">
        <v>87</v>
      </c>
      <c r="C66" s="13">
        <f>'Engg Mathematics'!H67</f>
        <v>0</v>
      </c>
      <c r="D66" s="13">
        <f>'Engg. Physics'!H67</f>
        <v>0</v>
      </c>
      <c r="E66" s="13">
        <f>'Basic Electrical'!H67</f>
        <v>0</v>
      </c>
      <c r="F66" s="13">
        <f>'Engg. Mechanics'!H67</f>
        <v>0</v>
      </c>
      <c r="G66" s="13">
        <f>FPL!H67</f>
        <v>0</v>
      </c>
      <c r="H66" s="14">
        <f>AVERAGE('Engg Mathematics'!I67+'Engg. Physics'!I67+'Basic Electrical'!I67+'Engg. Mechanics'!I67+FPL!I67)</f>
        <v>0</v>
      </c>
    </row>
    <row r="67" spans="1:8" x14ac:dyDescent="0.25">
      <c r="A67" s="13">
        <v>456</v>
      </c>
      <c r="B67" s="16" t="s">
        <v>88</v>
      </c>
      <c r="C67" s="13">
        <f>'Engg Mathematics'!H68</f>
        <v>0</v>
      </c>
      <c r="D67" s="13">
        <f>'Engg. Physics'!H68</f>
        <v>0</v>
      </c>
      <c r="E67" s="13">
        <f>'Basic Electrical'!H68</f>
        <v>0</v>
      </c>
      <c r="F67" s="13">
        <f>'Engg. Mechanics'!H68</f>
        <v>0</v>
      </c>
      <c r="G67" s="13">
        <f>FPL!H68</f>
        <v>0</v>
      </c>
      <c r="H67" s="14">
        <f>AVERAGE('Engg Mathematics'!I68+'Engg. Physics'!I68+'Basic Electrical'!I68+'Engg. Mechanics'!I68+FPL!I68)</f>
        <v>0</v>
      </c>
    </row>
    <row r="68" spans="1:8" x14ac:dyDescent="0.25">
      <c r="A68" s="13">
        <v>457</v>
      </c>
      <c r="B68" s="16" t="s">
        <v>89</v>
      </c>
      <c r="C68" s="13">
        <f>'Engg Mathematics'!H69</f>
        <v>0</v>
      </c>
      <c r="D68" s="13">
        <f>'Engg. Physics'!H69</f>
        <v>0</v>
      </c>
      <c r="E68" s="13">
        <f>'Basic Electrical'!H69</f>
        <v>0</v>
      </c>
      <c r="F68" s="13">
        <f>'Engg. Mechanics'!H69</f>
        <v>0</v>
      </c>
      <c r="G68" s="13">
        <f>FPL!H69</f>
        <v>0</v>
      </c>
      <c r="H68" s="14">
        <f>AVERAGE('Engg Mathematics'!I69+'Engg. Physics'!I69+'Basic Electrical'!I69+'Engg. Mechanics'!I69+FPL!I69)</f>
        <v>0</v>
      </c>
    </row>
    <row r="69" spans="1:8" x14ac:dyDescent="0.25">
      <c r="A69" s="13">
        <v>458</v>
      </c>
      <c r="B69" s="16" t="s">
        <v>90</v>
      </c>
      <c r="C69" s="13">
        <f>'Engg Mathematics'!H70</f>
        <v>0</v>
      </c>
      <c r="D69" s="13">
        <f>'Engg. Physics'!H70</f>
        <v>0</v>
      </c>
      <c r="E69" s="13">
        <f>'Basic Electrical'!H70</f>
        <v>0</v>
      </c>
      <c r="F69" s="13">
        <f>'Engg. Mechanics'!H70</f>
        <v>0</v>
      </c>
      <c r="G69" s="13">
        <f>FPL!H70</f>
        <v>0</v>
      </c>
      <c r="H69" s="14">
        <f>AVERAGE('Engg Mathematics'!I70+'Engg. Physics'!I70+'Basic Electrical'!I70+'Engg. Mechanics'!I70+FPL!I70)</f>
        <v>0</v>
      </c>
    </row>
    <row r="70" spans="1:8" x14ac:dyDescent="0.25">
      <c r="A70" s="13">
        <v>459</v>
      </c>
      <c r="B70" s="16" t="s">
        <v>91</v>
      </c>
      <c r="C70" s="13">
        <f>'Engg Mathematics'!H71</f>
        <v>0</v>
      </c>
      <c r="D70" s="13">
        <f>'Engg. Physics'!H71</f>
        <v>0</v>
      </c>
      <c r="E70" s="13">
        <f>'Basic Electrical'!H71</f>
        <v>0</v>
      </c>
      <c r="F70" s="13">
        <f>'Engg. Mechanics'!H71</f>
        <v>0</v>
      </c>
      <c r="G70" s="13">
        <f>FPL!H71</f>
        <v>0</v>
      </c>
      <c r="H70" s="14">
        <f>AVERAGE('Engg Mathematics'!I71+'Engg. Physics'!I71+'Basic Electrical'!I71+'Engg. Mechanics'!I71+FPL!I71)</f>
        <v>0</v>
      </c>
    </row>
    <row r="71" spans="1:8" x14ac:dyDescent="0.25">
      <c r="A71" s="13">
        <v>460</v>
      </c>
      <c r="B71" s="16" t="s">
        <v>92</v>
      </c>
      <c r="C71" s="13">
        <f>'Engg Mathematics'!H72</f>
        <v>0</v>
      </c>
      <c r="D71" s="13">
        <f>'Engg. Physics'!H72</f>
        <v>0</v>
      </c>
      <c r="E71" s="13">
        <f>'Basic Electrical'!H72</f>
        <v>0</v>
      </c>
      <c r="F71" s="13">
        <f>'Engg. Mechanics'!H72</f>
        <v>0</v>
      </c>
      <c r="G71" s="13">
        <f>FPL!H72</f>
        <v>0</v>
      </c>
      <c r="H71" s="14">
        <f>AVERAGE('Engg Mathematics'!I72+'Engg. Physics'!I72+'Basic Electrical'!I72+'Engg. Mechanics'!I72+FPL!I72)</f>
        <v>0</v>
      </c>
    </row>
    <row r="72" spans="1:8" x14ac:dyDescent="0.25">
      <c r="A72" s="13">
        <v>461</v>
      </c>
      <c r="B72" s="16" t="s">
        <v>93</v>
      </c>
      <c r="C72" s="13">
        <f>'Engg Mathematics'!H73</f>
        <v>0</v>
      </c>
      <c r="D72" s="13">
        <f>'Engg. Physics'!H73</f>
        <v>0</v>
      </c>
      <c r="E72" s="13">
        <f>'Basic Electrical'!H73</f>
        <v>0</v>
      </c>
      <c r="F72" s="13">
        <f>'Engg. Mechanics'!H73</f>
        <v>0</v>
      </c>
      <c r="G72" s="13">
        <f>FPL!H73</f>
        <v>0</v>
      </c>
      <c r="H72" s="14">
        <f>AVERAGE('Engg Mathematics'!I73+'Engg. Physics'!I73+'Basic Electrical'!I73+'Engg. Mechanics'!I73+FPL!I73)</f>
        <v>0</v>
      </c>
    </row>
    <row r="73" spans="1:8" x14ac:dyDescent="0.25">
      <c r="A73" s="13">
        <v>462</v>
      </c>
      <c r="B73" s="16" t="s">
        <v>94</v>
      </c>
      <c r="C73" s="13">
        <f>'Engg Mathematics'!H74</f>
        <v>0</v>
      </c>
      <c r="D73" s="13">
        <f>'Engg. Physics'!H74</f>
        <v>0</v>
      </c>
      <c r="E73" s="13">
        <f>'Basic Electrical'!H74</f>
        <v>0</v>
      </c>
      <c r="F73" s="13">
        <f>'Engg. Mechanics'!H74</f>
        <v>0</v>
      </c>
      <c r="G73" s="13">
        <f>FPL!H74</f>
        <v>0</v>
      </c>
      <c r="H73" s="14">
        <f>AVERAGE('Engg Mathematics'!I74+'Engg. Physics'!I74+'Basic Electrical'!I74+'Engg. Mechanics'!I74+FPL!I74)</f>
        <v>0</v>
      </c>
    </row>
    <row r="74" spans="1:8" x14ac:dyDescent="0.25">
      <c r="A74" s="13">
        <v>463</v>
      </c>
      <c r="B74" s="16" t="s">
        <v>95</v>
      </c>
      <c r="C74" s="13">
        <f>'Engg Mathematics'!H75</f>
        <v>0</v>
      </c>
      <c r="D74" s="13">
        <f>'Engg. Physics'!H75</f>
        <v>0</v>
      </c>
      <c r="E74" s="13">
        <f>'Basic Electrical'!H75</f>
        <v>0</v>
      </c>
      <c r="F74" s="13">
        <f>'Engg. Mechanics'!H75</f>
        <v>0</v>
      </c>
      <c r="G74" s="13">
        <f>FPL!H75</f>
        <v>0</v>
      </c>
      <c r="H74" s="14">
        <f>AVERAGE('Engg Mathematics'!I75+'Engg. Physics'!I75+'Basic Electrical'!I75+'Engg. Mechanics'!I75+FPL!I75)</f>
        <v>0</v>
      </c>
    </row>
    <row r="75" spans="1:8" x14ac:dyDescent="0.25">
      <c r="A75" s="13">
        <v>464</v>
      </c>
      <c r="B75" s="16" t="s">
        <v>96</v>
      </c>
      <c r="C75" s="13">
        <f>'Engg Mathematics'!H76</f>
        <v>0</v>
      </c>
      <c r="D75" s="13">
        <f>'Engg. Physics'!H76</f>
        <v>0</v>
      </c>
      <c r="E75" s="13">
        <f>'Basic Electrical'!H76</f>
        <v>0</v>
      </c>
      <c r="F75" s="13">
        <f>'Engg. Mechanics'!H76</f>
        <v>0</v>
      </c>
      <c r="G75" s="13">
        <f>FPL!H76</f>
        <v>0</v>
      </c>
      <c r="H75" s="14">
        <f>AVERAGE('Engg Mathematics'!I76+'Engg. Physics'!I76+'Basic Electrical'!I76+'Engg. Mechanics'!I76+FPL!I76)</f>
        <v>0</v>
      </c>
    </row>
    <row r="76" spans="1:8" x14ac:dyDescent="0.25">
      <c r="A76" s="13">
        <v>465</v>
      </c>
      <c r="B76" s="16" t="s">
        <v>97</v>
      </c>
      <c r="C76" s="13">
        <f>'Engg Mathematics'!H77</f>
        <v>0</v>
      </c>
      <c r="D76" s="13">
        <f>'Engg. Physics'!H77</f>
        <v>0</v>
      </c>
      <c r="E76" s="13">
        <f>'Basic Electrical'!H77</f>
        <v>0</v>
      </c>
      <c r="F76" s="13">
        <f>'Engg. Mechanics'!H77</f>
        <v>0</v>
      </c>
      <c r="G76" s="13">
        <f>FPL!H77</f>
        <v>0</v>
      </c>
      <c r="H76" s="14">
        <f>('Engg Mathematics'!I77+'Engg. Physics'!I77+'Basic Electrical'!I77+'Engg. Mechanics'!I77+FPL!I77)/5</f>
        <v>0</v>
      </c>
    </row>
    <row r="77" spans="1:8" x14ac:dyDescent="0.25">
      <c r="A77" s="13">
        <v>466</v>
      </c>
      <c r="B77" s="16" t="s">
        <v>98</v>
      </c>
      <c r="C77" s="13">
        <f>'Engg Mathematics'!H78</f>
        <v>0</v>
      </c>
      <c r="D77" s="13">
        <f>'Engg. Physics'!H78</f>
        <v>0</v>
      </c>
      <c r="E77" s="13">
        <f>'Basic Electrical'!H78</f>
        <v>0</v>
      </c>
      <c r="F77" s="13">
        <f>'Engg. Mechanics'!H78</f>
        <v>0</v>
      </c>
      <c r="G77" s="13">
        <f>FPL!H78</f>
        <v>0</v>
      </c>
      <c r="H77" s="14">
        <f>AVERAGE('Engg Mathematics'!I78+'Engg. Physics'!I78+'Basic Electrical'!I78+'Engg. Mechanics'!I78+FPL!I78)</f>
        <v>0</v>
      </c>
    </row>
    <row r="78" spans="1:8" x14ac:dyDescent="0.25">
      <c r="A78" s="13">
        <v>467</v>
      </c>
      <c r="B78" s="16" t="s">
        <v>99</v>
      </c>
      <c r="C78" s="13">
        <f>'Engg Mathematics'!H79</f>
        <v>0</v>
      </c>
      <c r="D78" s="13">
        <f>'Engg. Physics'!H79</f>
        <v>0</v>
      </c>
      <c r="E78" s="13">
        <f>'Basic Electrical'!H79</f>
        <v>0</v>
      </c>
      <c r="F78" s="13">
        <f>'Engg. Mechanics'!H79</f>
        <v>0</v>
      </c>
      <c r="G78" s="13">
        <f>FPL!H79</f>
        <v>0</v>
      </c>
      <c r="H78" s="14">
        <f>AVERAGE('Engg Mathematics'!I79+'Engg. Physics'!I79+'Basic Electrical'!I79+'Engg. Mechanics'!I79+FPL!I79)</f>
        <v>0</v>
      </c>
    </row>
    <row r="79" spans="1:8" x14ac:dyDescent="0.25">
      <c r="A79" s="13">
        <v>468</v>
      </c>
      <c r="B79" s="16" t="s">
        <v>100</v>
      </c>
      <c r="C79" s="13">
        <f>'Engg Mathematics'!H80</f>
        <v>0</v>
      </c>
      <c r="D79" s="13">
        <f>'Engg. Physics'!H80</f>
        <v>0</v>
      </c>
      <c r="E79" s="13">
        <f>'Basic Electrical'!H80</f>
        <v>0</v>
      </c>
      <c r="F79" s="13">
        <f>'Engg. Mechanics'!H80</f>
        <v>0</v>
      </c>
      <c r="G79" s="13">
        <f>FPL!H80</f>
        <v>0</v>
      </c>
      <c r="H79" s="14">
        <f>AVERAGE('Engg Mathematics'!I80+'Engg. Physics'!I80+'Basic Electrical'!I80+'Engg. Mechanics'!I80+FPL!I80)</f>
        <v>0</v>
      </c>
    </row>
    <row r="80" spans="1:8" x14ac:dyDescent="0.25">
      <c r="A80" s="13">
        <v>469</v>
      </c>
      <c r="B80" s="16" t="s">
        <v>101</v>
      </c>
      <c r="C80" s="13">
        <f>'Engg Mathematics'!H81</f>
        <v>0</v>
      </c>
      <c r="D80" s="13">
        <f>'Engg. Physics'!H81</f>
        <v>0</v>
      </c>
      <c r="E80" s="13">
        <f>'Basic Electrical'!H81</f>
        <v>0</v>
      </c>
      <c r="F80" s="13">
        <f>'Engg. Mechanics'!H81</f>
        <v>0</v>
      </c>
      <c r="G80" s="13">
        <f>FPL!H81</f>
        <v>0</v>
      </c>
      <c r="H80" s="14">
        <f>AVERAGE('Engg Mathematics'!I81+'Engg. Physics'!I81+'Basic Electrical'!I81+'Engg. Mechanics'!I81+FPL!I81)</f>
        <v>0</v>
      </c>
    </row>
    <row r="83" spans="1:3" s="15" customFormat="1" ht="14.25" x14ac:dyDescent="0.2">
      <c r="A83" s="9" t="s">
        <v>5</v>
      </c>
      <c r="B83" s="9" t="s">
        <v>28</v>
      </c>
      <c r="C83" s="9" t="s">
        <v>29</v>
      </c>
    </row>
    <row r="84" spans="1:3" x14ac:dyDescent="0.25">
      <c r="A84" s="16" t="s">
        <v>25</v>
      </c>
      <c r="B84" s="13"/>
      <c r="C84" s="13"/>
    </row>
    <row r="85" spans="1:3" x14ac:dyDescent="0.25">
      <c r="A85" s="16" t="s">
        <v>30</v>
      </c>
      <c r="B85" s="13"/>
      <c r="C85" s="13"/>
    </row>
    <row r="86" spans="1:3" x14ac:dyDescent="0.25">
      <c r="A86" s="16" t="s">
        <v>31</v>
      </c>
      <c r="B86" s="13"/>
      <c r="C86" s="13"/>
    </row>
    <row r="87" spans="1:3" x14ac:dyDescent="0.25">
      <c r="A87" s="16" t="s">
        <v>32</v>
      </c>
      <c r="B87" s="13"/>
      <c r="C87" s="13"/>
    </row>
    <row r="88" spans="1:3" x14ac:dyDescent="0.25">
      <c r="A88" s="16" t="s">
        <v>26</v>
      </c>
      <c r="B88" s="13"/>
      <c r="C88" s="13"/>
    </row>
  </sheetData>
  <mergeCells count="2">
    <mergeCell ref="H8:H10"/>
    <mergeCell ref="C8:G8"/>
  </mergeCells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O38" sqref="O38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401</v>
      </c>
      <c r="B13" s="11" t="str">
        <f>'Summary Sheet'!B12</f>
        <v>TIWARY ADITA AJIT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402</v>
      </c>
      <c r="B14" s="11" t="str">
        <f>'Summary Sheet'!B13</f>
        <v xml:space="preserve">FULZELE AMRUTA HIRALAL 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403</v>
      </c>
      <c r="B15" s="11" t="str">
        <f>'Summary Sheet'!B14</f>
        <v>ANBHULE ADITI NAMDEO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404</v>
      </c>
      <c r="B16" s="11" t="str">
        <f>'Summary Sheet'!B15</f>
        <v xml:space="preserve">ANBHULE  SHIVANI  SANDIP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405</v>
      </c>
      <c r="B17" s="11" t="str">
        <f>'Summary Sheet'!B16</f>
        <v>SAI PRAJNA B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406</v>
      </c>
      <c r="B18" s="11" t="str">
        <f>'Summary Sheet'!B17</f>
        <v xml:space="preserve">BADAGU  GRISHMA GANESH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407</v>
      </c>
      <c r="B19" s="11" t="str">
        <f>'Summary Sheet'!B18</f>
        <v xml:space="preserve">BANDAL  KAVERI  MOHAN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408</v>
      </c>
      <c r="B20" s="11" t="str">
        <f>'Summary Sheet'!B19</f>
        <v xml:space="preserve">BARVE ASMITA  ABHISHEK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409</v>
      </c>
      <c r="B21" s="11" t="str">
        <f>'Summary Sheet'!B20</f>
        <v>BHOSALE MIHIKA MANSING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410</v>
      </c>
      <c r="B22" s="11" t="str">
        <f>'Summary Sheet'!B21</f>
        <v>BONDRE ASMITA  KAILAS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411</v>
      </c>
      <c r="B23" s="11" t="str">
        <f>'Summary Sheet'!B22</f>
        <v>CHAVAN  HARIPRIYA  SATISH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412</v>
      </c>
      <c r="B24" s="11" t="str">
        <f>'Summary Sheet'!B23</f>
        <v>CHAVAN  NEHA BHIVSEN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413</v>
      </c>
      <c r="B25" s="11" t="str">
        <f>'Summary Sheet'!B24</f>
        <v xml:space="preserve">CHAVAN  SHARWARI  YOGESH 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414</v>
      </c>
      <c r="B26" s="11" t="str">
        <f>'Summary Sheet'!B25</f>
        <v>CHILWANT  GAURI SATISH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415</v>
      </c>
      <c r="B27" s="11" t="str">
        <f>'Summary Sheet'!B26</f>
        <v xml:space="preserve">CHOBE  ANUSHKA  SANJAY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416</v>
      </c>
      <c r="B28" s="11" t="str">
        <f>'Summary Sheet'!B27</f>
        <v>CHOLKE PRERNA SACHIN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417</v>
      </c>
      <c r="B29" s="11" t="str">
        <f>'Summary Sheet'!B28</f>
        <v xml:space="preserve">DATIR  SAMRUDDHI  BALASAHEB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418</v>
      </c>
      <c r="B30" s="11" t="str">
        <f>'Summary Sheet'!B29</f>
        <v xml:space="preserve">GAIKWAD SRUSHTI BHAUSAHEB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419</v>
      </c>
      <c r="B31" s="11" t="str">
        <f>'Summary Sheet'!B30</f>
        <v>GEJAGE SAMRUDDHI  SATISH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420</v>
      </c>
      <c r="B32" s="11" t="str">
        <f>'Summary Sheet'!B31</f>
        <v xml:space="preserve">GHARBUDVE  DHANASHREE  MADHUKAR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421</v>
      </c>
      <c r="B33" s="11" t="str">
        <f>'Summary Sheet'!B32</f>
        <v xml:space="preserve">GHOM ARYA BHAIYA 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422</v>
      </c>
      <c r="B34" s="11" t="str">
        <f>'Summary Sheet'!B33</f>
        <v xml:space="preserve">GUND  ANUJA  BALASAHEB 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423</v>
      </c>
      <c r="B35" s="11" t="str">
        <f>'Summary Sheet'!B34</f>
        <v xml:space="preserve">INGOLE  KASHISH  ANANT 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424</v>
      </c>
      <c r="B36" s="11" t="str">
        <f>'Summary Sheet'!B35</f>
        <v>SHAIKH INSHEERA MANSUR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425</v>
      </c>
      <c r="B37" s="11" t="str">
        <f>'Summary Sheet'!B36</f>
        <v>JADHAV SANSKRUTI SACHIN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426</v>
      </c>
      <c r="B38" s="11" t="str">
        <f>'Summary Sheet'!B37</f>
        <v>JAGTAP SHRAVANI VIJAY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427</v>
      </c>
      <c r="B39" s="11" t="str">
        <f>'Summary Sheet'!B38</f>
        <v>JAGTAP  TANISHKA  BHARAT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428</v>
      </c>
      <c r="B40" s="11" t="str">
        <f>'Summary Sheet'!B39</f>
        <v>JANGID ANJU NAVRATMAL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429</v>
      </c>
      <c r="B41" s="11" t="str">
        <f>'Summary Sheet'!B40</f>
        <v>JHA NIVEDITA RAJESH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430</v>
      </c>
      <c r="B42" s="11" t="str">
        <f>'Summary Sheet'!B41</f>
        <v>KADAM SRUSHTI  ARUN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431</v>
      </c>
      <c r="B43" s="11" t="str">
        <f>'Summary Sheet'!B42</f>
        <v>KALASE PRANITA PRAKASH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432</v>
      </c>
      <c r="B44" s="11" t="str">
        <f>'Summary Sheet'!B43</f>
        <v xml:space="preserve">KANADE SHRADDHA  DHANANJAY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433</v>
      </c>
      <c r="B45" s="11" t="str">
        <f>'Summary Sheet'!B44</f>
        <v>KHARAT AISHWARYA  SURESH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434</v>
      </c>
      <c r="B46" s="11" t="str">
        <f>'Summary Sheet'!B45</f>
        <v>KHARDE PAYAL AJAY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435</v>
      </c>
      <c r="B47" s="11" t="str">
        <f>'Summary Sheet'!B46</f>
        <v>DODE KHUSHI  KAILAS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436</v>
      </c>
      <c r="B48" s="11" t="str">
        <f>'Summary Sheet'!B47</f>
        <v xml:space="preserve">KIRVE ANUSHKA RAVINDRA 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437</v>
      </c>
      <c r="B49" s="11" t="str">
        <f>'Summary Sheet'!B48</f>
        <v xml:space="preserve">KOKARE  APEKSHA  PINUKDEV 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438</v>
      </c>
      <c r="B50" s="11" t="str">
        <f>'Summary Sheet'!B49</f>
        <v>KULKARNI  AVANI SHIVAJI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439</v>
      </c>
      <c r="B51" s="11" t="str">
        <f>'Summary Sheet'!B50</f>
        <v>LAWAND RUTUJA RAMESH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440</v>
      </c>
      <c r="B52" s="11" t="str">
        <f>'Summary Sheet'!B51</f>
        <v xml:space="preserve">  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441</v>
      </c>
      <c r="B53" s="11" t="str">
        <f>'Summary Sheet'!B52</f>
        <v>MAKHARE  RIYA TUSHAR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442</v>
      </c>
      <c r="B54" s="11" t="str">
        <f>'Summary Sheet'!B53</f>
        <v>MHATRE SWARA  SURAJ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443</v>
      </c>
      <c r="B55" s="11" t="str">
        <f>'Summary Sheet'!B54</f>
        <v xml:space="preserve">MODAK  SANIKA  ABASAHEB 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444</v>
      </c>
      <c r="B56" s="11" t="str">
        <f>'Summary Sheet'!B55</f>
        <v xml:space="preserve">MORE SAKSHI  PRAKASH 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445</v>
      </c>
      <c r="B57" s="11" t="str">
        <f>'Summary Sheet'!B56</f>
        <v>NETAKE  RUTIKA  LAXMAN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446</v>
      </c>
      <c r="B58" s="11" t="str">
        <f>'Summary Sheet'!B57</f>
        <v>PARDESHI  RIYA  MANOJ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447</v>
      </c>
      <c r="B59" s="11" t="str">
        <f>'Summary Sheet'!B58</f>
        <v xml:space="preserve">PATIL SHWETA SACHIN 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448</v>
      </c>
      <c r="B60" s="11" t="str">
        <f>'Summary Sheet'!B59</f>
        <v>PAWAR BHARGAVI BHUSHAN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449</v>
      </c>
      <c r="B61" s="11" t="str">
        <f>'Summary Sheet'!B60</f>
        <v xml:space="preserve">PAWAR  SUVARNA  SURYBHAN 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450</v>
      </c>
      <c r="B62" s="11" t="str">
        <f>'Summary Sheet'!B61</f>
        <v xml:space="preserve">PHATAK  VEDIKA HEMANT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451</v>
      </c>
      <c r="B63" s="11" t="str">
        <f>'Summary Sheet'!B62</f>
        <v xml:space="preserve">PUJARI NIKITA JAKAPPA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452</v>
      </c>
      <c r="B64" s="11" t="str">
        <f>'Summary Sheet'!B63</f>
        <v>RENUSE ASHU  RAVINDRA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453</v>
      </c>
      <c r="B65" s="11" t="str">
        <f>'Summary Sheet'!B64</f>
        <v>SALUNKE SIDDHI  DATTATRAY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454</v>
      </c>
      <c r="B66" s="11" t="str">
        <f>'Summary Sheet'!B65</f>
        <v>PATIL SEJAL MAHESH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455</v>
      </c>
      <c r="B67" s="11" t="str">
        <f>'Summary Sheet'!B66</f>
        <v xml:space="preserve">SHAIKH  TEHSEENA  ABDUL RASHID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456</v>
      </c>
      <c r="B68" s="11" t="str">
        <f>'Summary Sheet'!B67</f>
        <v xml:space="preserve">SHELKE  TEJASVINI  SANJAY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457</v>
      </c>
      <c r="B69" s="11" t="str">
        <f>'Summary Sheet'!B68</f>
        <v xml:space="preserve">SHINDE SAKSHI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458</v>
      </c>
      <c r="B70" s="11" t="str">
        <f>'Summary Sheet'!B69</f>
        <v xml:space="preserve">DHADAVE  SHRAVANI PRASHANT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459</v>
      </c>
      <c r="B71" s="11" t="str">
        <f>'Summary Sheet'!B70</f>
        <v>JAMDADE SHRAVANI SUNIL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460</v>
      </c>
      <c r="B72" s="11" t="str">
        <f>'Summary Sheet'!B71</f>
        <v xml:space="preserve">SIDAM  SHRAVANI  TUKARAM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461</v>
      </c>
      <c r="B73" s="11" t="str">
        <f>'Summary Sheet'!B72</f>
        <v xml:space="preserve">SUKALE  ESHAWARI  SUNIL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462</v>
      </c>
      <c r="B74" s="11" t="str">
        <f>'Summary Sheet'!B73</f>
        <v xml:space="preserve">RAJOLE TANAYAA BHALCHANDRA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463</v>
      </c>
      <c r="B75" s="11" t="str">
        <f>'Summary Sheet'!B74</f>
        <v>TANDEKAR VANSHIKA BHIVDAS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464</v>
      </c>
      <c r="B76" s="11" t="str">
        <f>'Summary Sheet'!B75</f>
        <v xml:space="preserve">TARALKAR  MRUDULA  PANKAJ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465</v>
      </c>
      <c r="B77" s="11" t="str">
        <f>'Summary Sheet'!B76</f>
        <v>TAVHARE RIYA NAWNATH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466</v>
      </c>
      <c r="B78" s="11" t="str">
        <f>'Summary Sheet'!B77</f>
        <v xml:space="preserve">TODKAR GUNJAN  MANOJ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467</v>
      </c>
      <c r="B79" s="11" t="str">
        <f>'Summary Sheet'!B78</f>
        <v xml:space="preserve">VAISHNAV  SAMIKSHA PANKAJ 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468</v>
      </c>
      <c r="B80" s="11" t="str">
        <f>'Summary Sheet'!B79</f>
        <v xml:space="preserve">AGRAWAL  YUKTI  NILESH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469</v>
      </c>
      <c r="B81" s="11" t="str">
        <f>'Summary Sheet'!B80</f>
        <v>GENDEWAD VEDIKA SHIVAJI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rintOptions horizontalCentered="1"/>
  <pageMargins left="0.7" right="0.7" top="0.7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D93" sqref="D93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401</v>
      </c>
      <c r="B13" s="11" t="str">
        <f>'Summary Sheet'!B12</f>
        <v>TIWARY ADITA AJIT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402</v>
      </c>
      <c r="B14" s="11" t="str">
        <f>'Summary Sheet'!B13</f>
        <v xml:space="preserve">FULZELE AMRUTA HIRALAL 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403</v>
      </c>
      <c r="B15" s="11" t="str">
        <f>'Summary Sheet'!B14</f>
        <v>ANBHULE ADITI NAMDEO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404</v>
      </c>
      <c r="B16" s="11" t="str">
        <f>'Summary Sheet'!B15</f>
        <v xml:space="preserve">ANBHULE  SHIVANI  SANDIP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405</v>
      </c>
      <c r="B17" s="11" t="str">
        <f>'Summary Sheet'!B16</f>
        <v>SAI PRAJNA B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406</v>
      </c>
      <c r="B18" s="11" t="str">
        <f>'Summary Sheet'!B17</f>
        <v xml:space="preserve">BADAGU  GRISHMA GANESH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407</v>
      </c>
      <c r="B19" s="11" t="str">
        <f>'Summary Sheet'!B18</f>
        <v xml:space="preserve">BANDAL  KAVERI  MOHAN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408</v>
      </c>
      <c r="B20" s="11" t="str">
        <f>'Summary Sheet'!B19</f>
        <v xml:space="preserve">BARVE ASMITA  ABHISHEK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409</v>
      </c>
      <c r="B21" s="11" t="str">
        <f>'Summary Sheet'!B20</f>
        <v>BHOSALE MIHIKA MANSING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410</v>
      </c>
      <c r="B22" s="11" t="str">
        <f>'Summary Sheet'!B21</f>
        <v>BONDRE ASMITA  KAILAS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411</v>
      </c>
      <c r="B23" s="11" t="str">
        <f>'Summary Sheet'!B22</f>
        <v>CHAVAN  HARIPRIYA  SATISH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412</v>
      </c>
      <c r="B24" s="11" t="str">
        <f>'Summary Sheet'!B23</f>
        <v>CHAVAN  NEHA BHIVSEN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413</v>
      </c>
      <c r="B25" s="11" t="str">
        <f>'Summary Sheet'!B24</f>
        <v xml:space="preserve">CHAVAN  SHARWARI  YOGESH 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414</v>
      </c>
      <c r="B26" s="11" t="str">
        <f>'Summary Sheet'!B25</f>
        <v>CHILWANT  GAURI SATISH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415</v>
      </c>
      <c r="B27" s="11" t="str">
        <f>'Summary Sheet'!B26</f>
        <v xml:space="preserve">CHOBE  ANUSHKA  SANJAY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416</v>
      </c>
      <c r="B28" s="11" t="str">
        <f>'Summary Sheet'!B27</f>
        <v>CHOLKE PRERNA SACHIN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417</v>
      </c>
      <c r="B29" s="11" t="str">
        <f>'Summary Sheet'!B28</f>
        <v xml:space="preserve">DATIR  SAMRUDDHI  BALASAHEB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418</v>
      </c>
      <c r="B30" s="11" t="str">
        <f>'Summary Sheet'!B29</f>
        <v xml:space="preserve">GAIKWAD SRUSHTI BHAUSAHEB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419</v>
      </c>
      <c r="B31" s="11" t="str">
        <f>'Summary Sheet'!B30</f>
        <v>GEJAGE SAMRUDDHI  SATISH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420</v>
      </c>
      <c r="B32" s="11" t="str">
        <f>'Summary Sheet'!B31</f>
        <v xml:space="preserve">GHARBUDVE  DHANASHREE  MADHUKAR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421</v>
      </c>
      <c r="B33" s="11" t="str">
        <f>'Summary Sheet'!B32</f>
        <v xml:space="preserve">GHOM ARYA BHAIYA 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422</v>
      </c>
      <c r="B34" s="11" t="str">
        <f>'Summary Sheet'!B33</f>
        <v xml:space="preserve">GUND  ANUJA  BALASAHEB 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423</v>
      </c>
      <c r="B35" s="11" t="str">
        <f>'Summary Sheet'!B34</f>
        <v xml:space="preserve">INGOLE  KASHISH  ANANT 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424</v>
      </c>
      <c r="B36" s="11" t="str">
        <f>'Summary Sheet'!B35</f>
        <v>SHAIKH INSHEERA MANSUR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425</v>
      </c>
      <c r="B37" s="11" t="str">
        <f>'Summary Sheet'!B36</f>
        <v>JADHAV SANSKRUTI SACHIN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426</v>
      </c>
      <c r="B38" s="11" t="str">
        <f>'Summary Sheet'!B37</f>
        <v>JAGTAP SHRAVANI VIJAY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427</v>
      </c>
      <c r="B39" s="11" t="str">
        <f>'Summary Sheet'!B38</f>
        <v>JAGTAP  TANISHKA  BHARAT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428</v>
      </c>
      <c r="B40" s="11" t="str">
        <f>'Summary Sheet'!B39</f>
        <v>JANGID ANJU NAVRATMAL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429</v>
      </c>
      <c r="B41" s="11" t="str">
        <f>'Summary Sheet'!B40</f>
        <v>JHA NIVEDITA RAJESH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430</v>
      </c>
      <c r="B42" s="11" t="str">
        <f>'Summary Sheet'!B41</f>
        <v>KADAM SRUSHTI  ARUN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431</v>
      </c>
      <c r="B43" s="11" t="str">
        <f>'Summary Sheet'!B42</f>
        <v>KALASE PRANITA PRAKASH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432</v>
      </c>
      <c r="B44" s="11" t="str">
        <f>'Summary Sheet'!B43</f>
        <v xml:space="preserve">KANADE SHRADDHA  DHANANJAY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433</v>
      </c>
      <c r="B45" s="11" t="str">
        <f>'Summary Sheet'!B44</f>
        <v>KHARAT AISHWARYA  SURESH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434</v>
      </c>
      <c r="B46" s="11" t="str">
        <f>'Summary Sheet'!B45</f>
        <v>KHARDE PAYAL AJAY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435</v>
      </c>
      <c r="B47" s="11" t="str">
        <f>'Summary Sheet'!B46</f>
        <v>DODE KHUSHI  KAILAS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436</v>
      </c>
      <c r="B48" s="11" t="str">
        <f>'Summary Sheet'!B47</f>
        <v xml:space="preserve">KIRVE ANUSHKA RAVINDRA 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437</v>
      </c>
      <c r="B49" s="11" t="str">
        <f>'Summary Sheet'!B48</f>
        <v xml:space="preserve">KOKARE  APEKSHA  PINUKDEV 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438</v>
      </c>
      <c r="B50" s="11" t="str">
        <f>'Summary Sheet'!B49</f>
        <v>KULKARNI  AVANI SHIVAJI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439</v>
      </c>
      <c r="B51" s="11" t="str">
        <f>'Summary Sheet'!B50</f>
        <v>LAWAND RUTUJA RAMESH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440</v>
      </c>
      <c r="B52" s="11" t="str">
        <f>'Summary Sheet'!B51</f>
        <v xml:space="preserve">  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441</v>
      </c>
      <c r="B53" s="11" t="str">
        <f>'Summary Sheet'!B52</f>
        <v>MAKHARE  RIYA TUSHAR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442</v>
      </c>
      <c r="B54" s="11" t="str">
        <f>'Summary Sheet'!B53</f>
        <v>MHATRE SWARA  SURAJ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443</v>
      </c>
      <c r="B55" s="11" t="str">
        <f>'Summary Sheet'!B54</f>
        <v xml:space="preserve">MODAK  SANIKA  ABASAHEB 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444</v>
      </c>
      <c r="B56" s="11" t="str">
        <f>'Summary Sheet'!B55</f>
        <v xml:space="preserve">MORE SAKSHI  PRAKASH 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445</v>
      </c>
      <c r="B57" s="11" t="str">
        <f>'Summary Sheet'!B56</f>
        <v>NETAKE  RUTIKA  LAXMAN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446</v>
      </c>
      <c r="B58" s="11" t="str">
        <f>'Summary Sheet'!B57</f>
        <v>PARDESHI  RIYA  MANOJ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447</v>
      </c>
      <c r="B59" s="11" t="str">
        <f>'Summary Sheet'!B58</f>
        <v xml:space="preserve">PATIL SHWETA SACHIN 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448</v>
      </c>
      <c r="B60" s="11" t="str">
        <f>'Summary Sheet'!B59</f>
        <v>PAWAR BHARGAVI BHUSHAN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449</v>
      </c>
      <c r="B61" s="11" t="str">
        <f>'Summary Sheet'!B60</f>
        <v xml:space="preserve">PAWAR  SUVARNA  SURYBHAN 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450</v>
      </c>
      <c r="B62" s="11" t="str">
        <f>'Summary Sheet'!B61</f>
        <v xml:space="preserve">PHATAK  VEDIKA HEMANT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451</v>
      </c>
      <c r="B63" s="11" t="str">
        <f>'Summary Sheet'!B62</f>
        <v xml:space="preserve">PUJARI NIKITA JAKAPPA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452</v>
      </c>
      <c r="B64" s="11" t="str">
        <f>'Summary Sheet'!B63</f>
        <v>RENUSE ASHU  RAVINDRA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453</v>
      </c>
      <c r="B65" s="11" t="str">
        <f>'Summary Sheet'!B64</f>
        <v>SALUNKE SIDDHI  DATTATRAY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454</v>
      </c>
      <c r="B66" s="11" t="str">
        <f>'Summary Sheet'!B65</f>
        <v>PATIL SEJAL MAHESH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455</v>
      </c>
      <c r="B67" s="11" t="str">
        <f>'Summary Sheet'!B66</f>
        <v xml:space="preserve">SHAIKH  TEHSEENA  ABDUL RASHID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456</v>
      </c>
      <c r="B68" s="11" t="str">
        <f>'Summary Sheet'!B67</f>
        <v xml:space="preserve">SHELKE  TEJASVINI  SANJAY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457</v>
      </c>
      <c r="B69" s="11" t="str">
        <f>'Summary Sheet'!B68</f>
        <v xml:space="preserve">SHINDE SAKSHI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458</v>
      </c>
      <c r="B70" s="11" t="str">
        <f>'Summary Sheet'!B69</f>
        <v xml:space="preserve">DHADAVE  SHRAVANI PRASHANT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459</v>
      </c>
      <c r="B71" s="11" t="str">
        <f>'Summary Sheet'!B70</f>
        <v>JAMDADE SHRAVANI SUNIL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460</v>
      </c>
      <c r="B72" s="11" t="str">
        <f>'Summary Sheet'!B71</f>
        <v xml:space="preserve">SIDAM  SHRAVANI  TUKARAM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461</v>
      </c>
      <c r="B73" s="11" t="str">
        <f>'Summary Sheet'!B72</f>
        <v xml:space="preserve">SUKALE  ESHAWARI  SUNIL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462</v>
      </c>
      <c r="B74" s="11" t="str">
        <f>'Summary Sheet'!B73</f>
        <v xml:space="preserve">RAJOLE TANAYAA BHALCHANDRA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463</v>
      </c>
      <c r="B75" s="11" t="str">
        <f>'Summary Sheet'!B74</f>
        <v>TANDEKAR VANSHIKA BHIVDAS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464</v>
      </c>
      <c r="B76" s="11" t="str">
        <f>'Summary Sheet'!B75</f>
        <v xml:space="preserve">TARALKAR  MRUDULA  PANKAJ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465</v>
      </c>
      <c r="B77" s="11" t="str">
        <f>'Summary Sheet'!B76</f>
        <v>TAVHARE RIYA NAWNATH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466</v>
      </c>
      <c r="B78" s="11" t="str">
        <f>'Summary Sheet'!B77</f>
        <v xml:space="preserve">TODKAR GUNJAN  MANOJ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467</v>
      </c>
      <c r="B79" s="11" t="str">
        <f>'Summary Sheet'!B78</f>
        <v xml:space="preserve">VAISHNAV  SAMIKSHA PANKAJ 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468</v>
      </c>
      <c r="B80" s="11" t="str">
        <f>'Summary Sheet'!B79</f>
        <v xml:space="preserve">AGRAWAL  YUKTI  NILESH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469</v>
      </c>
      <c r="B81" s="11" t="str">
        <f>'Summary Sheet'!B80</f>
        <v>GENDEWAD VEDIKA SHIVAJI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B91" sqref="B91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401</v>
      </c>
      <c r="B13" s="11" t="str">
        <f>'Summary Sheet'!B12</f>
        <v>TIWARY ADITA AJIT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402</v>
      </c>
      <c r="B14" s="11" t="str">
        <f>'Summary Sheet'!B13</f>
        <v xml:space="preserve">FULZELE AMRUTA HIRALAL 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403</v>
      </c>
      <c r="B15" s="11" t="str">
        <f>'Summary Sheet'!B14</f>
        <v>ANBHULE ADITI NAMDEO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404</v>
      </c>
      <c r="B16" s="11" t="str">
        <f>'Summary Sheet'!B15</f>
        <v xml:space="preserve">ANBHULE  SHIVANI  SANDIP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405</v>
      </c>
      <c r="B17" s="11" t="str">
        <f>'Summary Sheet'!B16</f>
        <v>SAI PRAJNA B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406</v>
      </c>
      <c r="B18" s="11" t="str">
        <f>'Summary Sheet'!B17</f>
        <v xml:space="preserve">BADAGU  GRISHMA GANESH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407</v>
      </c>
      <c r="B19" s="11" t="str">
        <f>'Summary Sheet'!B18</f>
        <v xml:space="preserve">BANDAL  KAVERI  MOHAN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408</v>
      </c>
      <c r="B20" s="11" t="str">
        <f>'Summary Sheet'!B19</f>
        <v xml:space="preserve">BARVE ASMITA  ABHISHEK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409</v>
      </c>
      <c r="B21" s="11" t="str">
        <f>'Summary Sheet'!B20</f>
        <v>BHOSALE MIHIKA MANSING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410</v>
      </c>
      <c r="B22" s="11" t="str">
        <f>'Summary Sheet'!B21</f>
        <v>BONDRE ASMITA  KAILAS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411</v>
      </c>
      <c r="B23" s="11" t="str">
        <f>'Summary Sheet'!B22</f>
        <v>CHAVAN  HARIPRIYA  SATISH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412</v>
      </c>
      <c r="B24" s="11" t="str">
        <f>'Summary Sheet'!B23</f>
        <v>CHAVAN  NEHA BHIVSEN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413</v>
      </c>
      <c r="B25" s="11" t="str">
        <f>'Summary Sheet'!B24</f>
        <v xml:space="preserve">CHAVAN  SHARWARI  YOGESH 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414</v>
      </c>
      <c r="B26" s="11" t="str">
        <f>'Summary Sheet'!B25</f>
        <v>CHILWANT  GAURI SATISH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415</v>
      </c>
      <c r="B27" s="11" t="str">
        <f>'Summary Sheet'!B26</f>
        <v xml:space="preserve">CHOBE  ANUSHKA  SANJAY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416</v>
      </c>
      <c r="B28" s="11" t="str">
        <f>'Summary Sheet'!B27</f>
        <v>CHOLKE PRERNA SACHIN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417</v>
      </c>
      <c r="B29" s="11" t="str">
        <f>'Summary Sheet'!B28</f>
        <v xml:space="preserve">DATIR  SAMRUDDHI  BALASAHEB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418</v>
      </c>
      <c r="B30" s="11" t="str">
        <f>'Summary Sheet'!B29</f>
        <v xml:space="preserve">GAIKWAD SRUSHTI BHAUSAHEB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419</v>
      </c>
      <c r="B31" s="11" t="str">
        <f>'Summary Sheet'!B30</f>
        <v>GEJAGE SAMRUDDHI  SATISH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420</v>
      </c>
      <c r="B32" s="11" t="str">
        <f>'Summary Sheet'!B31</f>
        <v xml:space="preserve">GHARBUDVE  DHANASHREE  MADHUKAR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421</v>
      </c>
      <c r="B33" s="11" t="str">
        <f>'Summary Sheet'!B32</f>
        <v xml:space="preserve">GHOM ARYA BHAIYA 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422</v>
      </c>
      <c r="B34" s="11" t="str">
        <f>'Summary Sheet'!B33</f>
        <v xml:space="preserve">GUND  ANUJA  BALASAHEB 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423</v>
      </c>
      <c r="B35" s="11" t="str">
        <f>'Summary Sheet'!B34</f>
        <v xml:space="preserve">INGOLE  KASHISH  ANANT 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424</v>
      </c>
      <c r="B36" s="11" t="str">
        <f>'Summary Sheet'!B35</f>
        <v>SHAIKH INSHEERA MANSUR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425</v>
      </c>
      <c r="B37" s="11" t="str">
        <f>'Summary Sheet'!B36</f>
        <v>JADHAV SANSKRUTI SACHIN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426</v>
      </c>
      <c r="B38" s="11" t="str">
        <f>'Summary Sheet'!B37</f>
        <v>JAGTAP SHRAVANI VIJAY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427</v>
      </c>
      <c r="B39" s="11" t="str">
        <f>'Summary Sheet'!B38</f>
        <v>JAGTAP  TANISHKA  BHARAT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428</v>
      </c>
      <c r="B40" s="11" t="str">
        <f>'Summary Sheet'!B39</f>
        <v>JANGID ANJU NAVRATMAL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429</v>
      </c>
      <c r="B41" s="11" t="str">
        <f>'Summary Sheet'!B40</f>
        <v>JHA NIVEDITA RAJESH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430</v>
      </c>
      <c r="B42" s="11" t="str">
        <f>'Summary Sheet'!B41</f>
        <v>KADAM SRUSHTI  ARUN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431</v>
      </c>
      <c r="B43" s="11" t="str">
        <f>'Summary Sheet'!B42</f>
        <v>KALASE PRANITA PRAKASH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432</v>
      </c>
      <c r="B44" s="11" t="str">
        <f>'Summary Sheet'!B43</f>
        <v xml:space="preserve">KANADE SHRADDHA  DHANANJAY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433</v>
      </c>
      <c r="B45" s="11" t="str">
        <f>'Summary Sheet'!B44</f>
        <v>KHARAT AISHWARYA  SURESH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434</v>
      </c>
      <c r="B46" s="11" t="str">
        <f>'Summary Sheet'!B45</f>
        <v>KHARDE PAYAL AJAY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435</v>
      </c>
      <c r="B47" s="11" t="str">
        <f>'Summary Sheet'!B46</f>
        <v>DODE KHUSHI  KAILAS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436</v>
      </c>
      <c r="B48" s="11" t="str">
        <f>'Summary Sheet'!B47</f>
        <v xml:space="preserve">KIRVE ANUSHKA RAVINDRA 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437</v>
      </c>
      <c r="B49" s="11" t="str">
        <f>'Summary Sheet'!B48</f>
        <v xml:space="preserve">KOKARE  APEKSHA  PINUKDEV 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438</v>
      </c>
      <c r="B50" s="11" t="str">
        <f>'Summary Sheet'!B49</f>
        <v>KULKARNI  AVANI SHIVAJI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439</v>
      </c>
      <c r="B51" s="11" t="str">
        <f>'Summary Sheet'!B50</f>
        <v>LAWAND RUTUJA RAMESH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440</v>
      </c>
      <c r="B52" s="11" t="str">
        <f>'Summary Sheet'!B51</f>
        <v xml:space="preserve">  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441</v>
      </c>
      <c r="B53" s="11" t="str">
        <f>'Summary Sheet'!B52</f>
        <v>MAKHARE  RIYA TUSHAR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442</v>
      </c>
      <c r="B54" s="11" t="str">
        <f>'Summary Sheet'!B53</f>
        <v>MHATRE SWARA  SURAJ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443</v>
      </c>
      <c r="B55" s="11" t="str">
        <f>'Summary Sheet'!B54</f>
        <v xml:space="preserve">MODAK  SANIKA  ABASAHEB 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444</v>
      </c>
      <c r="B56" s="11" t="str">
        <f>'Summary Sheet'!B55</f>
        <v xml:space="preserve">MORE SAKSHI  PRAKASH 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445</v>
      </c>
      <c r="B57" s="11" t="str">
        <f>'Summary Sheet'!B56</f>
        <v>NETAKE  RUTIKA  LAXMAN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446</v>
      </c>
      <c r="B58" s="11" t="str">
        <f>'Summary Sheet'!B57</f>
        <v>PARDESHI  RIYA  MANOJ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447</v>
      </c>
      <c r="B59" s="11" t="str">
        <f>'Summary Sheet'!B58</f>
        <v xml:space="preserve">PATIL SHWETA SACHIN 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448</v>
      </c>
      <c r="B60" s="11" t="str">
        <f>'Summary Sheet'!B59</f>
        <v>PAWAR BHARGAVI BHUSHAN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449</v>
      </c>
      <c r="B61" s="11" t="str">
        <f>'Summary Sheet'!B60</f>
        <v xml:space="preserve">PAWAR  SUVARNA  SURYBHAN 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450</v>
      </c>
      <c r="B62" s="11" t="str">
        <f>'Summary Sheet'!B61</f>
        <v xml:space="preserve">PHATAK  VEDIKA HEMANT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451</v>
      </c>
      <c r="B63" s="11" t="str">
        <f>'Summary Sheet'!B62</f>
        <v xml:space="preserve">PUJARI NIKITA JAKAPPA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452</v>
      </c>
      <c r="B64" s="11" t="str">
        <f>'Summary Sheet'!B63</f>
        <v>RENUSE ASHU  RAVINDRA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453</v>
      </c>
      <c r="B65" s="11" t="str">
        <f>'Summary Sheet'!B64</f>
        <v>SALUNKE SIDDHI  DATTATRAY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454</v>
      </c>
      <c r="B66" s="11" t="str">
        <f>'Summary Sheet'!B65</f>
        <v>PATIL SEJAL MAHESH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455</v>
      </c>
      <c r="B67" s="11" t="str">
        <f>'Summary Sheet'!B66</f>
        <v xml:space="preserve">SHAIKH  TEHSEENA  ABDUL RASHID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456</v>
      </c>
      <c r="B68" s="11" t="str">
        <f>'Summary Sheet'!B67</f>
        <v xml:space="preserve">SHELKE  TEJASVINI  SANJAY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457</v>
      </c>
      <c r="B69" s="11" t="str">
        <f>'Summary Sheet'!B68</f>
        <v xml:space="preserve">SHINDE SAKSHI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458</v>
      </c>
      <c r="B70" s="11" t="str">
        <f>'Summary Sheet'!B69</f>
        <v xml:space="preserve">DHADAVE  SHRAVANI PRASHANT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459</v>
      </c>
      <c r="B71" s="11" t="str">
        <f>'Summary Sheet'!B70</f>
        <v>JAMDADE SHRAVANI SUNIL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460</v>
      </c>
      <c r="B72" s="11" t="str">
        <f>'Summary Sheet'!B71</f>
        <v xml:space="preserve">SIDAM  SHRAVANI  TUKARAM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461</v>
      </c>
      <c r="B73" s="11" t="str">
        <f>'Summary Sheet'!B72</f>
        <v xml:space="preserve">SUKALE  ESHAWARI  SUNIL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462</v>
      </c>
      <c r="B74" s="11" t="str">
        <f>'Summary Sheet'!B73</f>
        <v xml:space="preserve">RAJOLE TANAYAA BHALCHANDRA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463</v>
      </c>
      <c r="B75" s="11" t="str">
        <f>'Summary Sheet'!B74</f>
        <v>TANDEKAR VANSHIKA BHIVDAS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464</v>
      </c>
      <c r="B76" s="11" t="str">
        <f>'Summary Sheet'!B75</f>
        <v xml:space="preserve">TARALKAR  MRUDULA  PANKAJ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465</v>
      </c>
      <c r="B77" s="11" t="str">
        <f>'Summary Sheet'!B76</f>
        <v>TAVHARE RIYA NAWNATH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466</v>
      </c>
      <c r="B78" s="11" t="str">
        <f>'Summary Sheet'!B77</f>
        <v xml:space="preserve">TODKAR GUNJAN  MANOJ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467</v>
      </c>
      <c r="B79" s="11" t="str">
        <f>'Summary Sheet'!B78</f>
        <v xml:space="preserve">VAISHNAV  SAMIKSHA PANKAJ 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468</v>
      </c>
      <c r="B80" s="11" t="str">
        <f>'Summary Sheet'!B79</f>
        <v xml:space="preserve">AGRAWAL  YUKTI  NILESH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469</v>
      </c>
      <c r="B81" s="11" t="str">
        <f>'Summary Sheet'!B80</f>
        <v>GENDEWAD VEDIKA SHIVAJI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selection activeCell="J69" sqref="J69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401</v>
      </c>
      <c r="B13" s="11" t="str">
        <f>'Summary Sheet'!B12</f>
        <v>TIWARY ADITA AJIT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402</v>
      </c>
      <c r="B14" s="11" t="str">
        <f>'Summary Sheet'!B13</f>
        <v xml:space="preserve">FULZELE AMRUTA HIRALAL 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403</v>
      </c>
      <c r="B15" s="11" t="str">
        <f>'Summary Sheet'!B14</f>
        <v>ANBHULE ADITI NAMDEO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404</v>
      </c>
      <c r="B16" s="11" t="str">
        <f>'Summary Sheet'!B15</f>
        <v xml:space="preserve">ANBHULE  SHIVANI  SANDIP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405</v>
      </c>
      <c r="B17" s="11" t="str">
        <f>'Summary Sheet'!B16</f>
        <v>SAI PRAJNA B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406</v>
      </c>
      <c r="B18" s="11" t="str">
        <f>'Summary Sheet'!B17</f>
        <v xml:space="preserve">BADAGU  GRISHMA GANESH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407</v>
      </c>
      <c r="B19" s="11" t="str">
        <f>'Summary Sheet'!B18</f>
        <v xml:space="preserve">BANDAL  KAVERI  MOHAN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408</v>
      </c>
      <c r="B20" s="11" t="str">
        <f>'Summary Sheet'!B19</f>
        <v xml:space="preserve">BARVE ASMITA  ABHISHEK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409</v>
      </c>
      <c r="B21" s="11" t="str">
        <f>'Summary Sheet'!B20</f>
        <v>BHOSALE MIHIKA MANSING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410</v>
      </c>
      <c r="B22" s="11" t="str">
        <f>'Summary Sheet'!B21</f>
        <v>BONDRE ASMITA  KAILAS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411</v>
      </c>
      <c r="B23" s="11" t="str">
        <f>'Summary Sheet'!B22</f>
        <v>CHAVAN  HARIPRIYA  SATISH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412</v>
      </c>
      <c r="B24" s="11" t="str">
        <f>'Summary Sheet'!B23</f>
        <v>CHAVAN  NEHA BHIVSEN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413</v>
      </c>
      <c r="B25" s="11" t="str">
        <f>'Summary Sheet'!B24</f>
        <v xml:space="preserve">CHAVAN  SHARWARI  YOGESH 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414</v>
      </c>
      <c r="B26" s="11" t="str">
        <f>'Summary Sheet'!B25</f>
        <v>CHILWANT  GAURI SATISH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415</v>
      </c>
      <c r="B27" s="11" t="str">
        <f>'Summary Sheet'!B26</f>
        <v xml:space="preserve">CHOBE  ANUSHKA  SANJAY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416</v>
      </c>
      <c r="B28" s="11" t="str">
        <f>'Summary Sheet'!B27</f>
        <v>CHOLKE PRERNA SACHIN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417</v>
      </c>
      <c r="B29" s="11" t="str">
        <f>'Summary Sheet'!B28</f>
        <v xml:space="preserve">DATIR  SAMRUDDHI  BALASAHEB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418</v>
      </c>
      <c r="B30" s="11" t="str">
        <f>'Summary Sheet'!B29</f>
        <v xml:space="preserve">GAIKWAD SRUSHTI BHAUSAHEB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419</v>
      </c>
      <c r="B31" s="11" t="str">
        <f>'Summary Sheet'!B30</f>
        <v>GEJAGE SAMRUDDHI  SATISH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420</v>
      </c>
      <c r="B32" s="11" t="str">
        <f>'Summary Sheet'!B31</f>
        <v xml:space="preserve">GHARBUDVE  DHANASHREE  MADHUKAR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421</v>
      </c>
      <c r="B33" s="11" t="str">
        <f>'Summary Sheet'!B32</f>
        <v xml:space="preserve">GHOM ARYA BHAIYA 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422</v>
      </c>
      <c r="B34" s="11" t="str">
        <f>'Summary Sheet'!B33</f>
        <v xml:space="preserve">GUND  ANUJA  BALASAHEB 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423</v>
      </c>
      <c r="B35" s="11" t="str">
        <f>'Summary Sheet'!B34</f>
        <v xml:space="preserve">INGOLE  KASHISH  ANANT 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424</v>
      </c>
      <c r="B36" s="11" t="str">
        <f>'Summary Sheet'!B35</f>
        <v>SHAIKH INSHEERA MANSUR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425</v>
      </c>
      <c r="B37" s="11" t="str">
        <f>'Summary Sheet'!B36</f>
        <v>JADHAV SANSKRUTI SACHIN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426</v>
      </c>
      <c r="B38" s="11" t="str">
        <f>'Summary Sheet'!B37</f>
        <v>JAGTAP SHRAVANI VIJAY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427</v>
      </c>
      <c r="B39" s="11" t="str">
        <f>'Summary Sheet'!B38</f>
        <v>JAGTAP  TANISHKA  BHARAT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428</v>
      </c>
      <c r="B40" s="11" t="str">
        <f>'Summary Sheet'!B39</f>
        <v>JANGID ANJU NAVRATMAL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429</v>
      </c>
      <c r="B41" s="11" t="str">
        <f>'Summary Sheet'!B40</f>
        <v>JHA NIVEDITA RAJESH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430</v>
      </c>
      <c r="B42" s="11" t="str">
        <f>'Summary Sheet'!B41</f>
        <v>KADAM SRUSHTI  ARUN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431</v>
      </c>
      <c r="B43" s="11" t="str">
        <f>'Summary Sheet'!B42</f>
        <v>KALASE PRANITA PRAKASH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432</v>
      </c>
      <c r="B44" s="11" t="str">
        <f>'Summary Sheet'!B43</f>
        <v xml:space="preserve">KANADE SHRADDHA  DHANANJAY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433</v>
      </c>
      <c r="B45" s="11" t="str">
        <f>'Summary Sheet'!B44</f>
        <v>KHARAT AISHWARYA  SURESH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434</v>
      </c>
      <c r="B46" s="11" t="str">
        <f>'Summary Sheet'!B45</f>
        <v>KHARDE PAYAL AJAY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435</v>
      </c>
      <c r="B47" s="11" t="str">
        <f>'Summary Sheet'!B46</f>
        <v>DODE KHUSHI  KAILAS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436</v>
      </c>
      <c r="B48" s="11" t="str">
        <f>'Summary Sheet'!B47</f>
        <v xml:space="preserve">KIRVE ANUSHKA RAVINDRA 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437</v>
      </c>
      <c r="B49" s="11" t="str">
        <f>'Summary Sheet'!B48</f>
        <v xml:space="preserve">KOKARE  APEKSHA  PINUKDEV 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438</v>
      </c>
      <c r="B50" s="11" t="str">
        <f>'Summary Sheet'!B49</f>
        <v>KULKARNI  AVANI SHIVAJI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439</v>
      </c>
      <c r="B51" s="11" t="str">
        <f>'Summary Sheet'!B50</f>
        <v>LAWAND RUTUJA RAMESH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440</v>
      </c>
      <c r="B52" s="11" t="str">
        <f>'Summary Sheet'!B51</f>
        <v xml:space="preserve">  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441</v>
      </c>
      <c r="B53" s="11" t="str">
        <f>'Summary Sheet'!B52</f>
        <v>MAKHARE  RIYA TUSHAR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442</v>
      </c>
      <c r="B54" s="11" t="str">
        <f>'Summary Sheet'!B53</f>
        <v>MHATRE SWARA  SURAJ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443</v>
      </c>
      <c r="B55" s="11" t="str">
        <f>'Summary Sheet'!B54</f>
        <v xml:space="preserve">MODAK  SANIKA  ABASAHEB 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444</v>
      </c>
      <c r="B56" s="11" t="str">
        <f>'Summary Sheet'!B55</f>
        <v xml:space="preserve">MORE SAKSHI  PRAKASH 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445</v>
      </c>
      <c r="B57" s="11" t="str">
        <f>'Summary Sheet'!B56</f>
        <v>NETAKE  RUTIKA  LAXMAN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446</v>
      </c>
      <c r="B58" s="11" t="str">
        <f>'Summary Sheet'!B57</f>
        <v>PARDESHI  RIYA  MANOJ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447</v>
      </c>
      <c r="B59" s="11" t="str">
        <f>'Summary Sheet'!B58</f>
        <v xml:space="preserve">PATIL SHWETA SACHIN 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448</v>
      </c>
      <c r="B60" s="11" t="str">
        <f>'Summary Sheet'!B59</f>
        <v>PAWAR BHARGAVI BHUSHAN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449</v>
      </c>
      <c r="B61" s="11" t="str">
        <f>'Summary Sheet'!B60</f>
        <v xml:space="preserve">PAWAR  SUVARNA  SURYBHAN 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450</v>
      </c>
      <c r="B62" s="11" t="str">
        <f>'Summary Sheet'!B61</f>
        <v xml:space="preserve">PHATAK  VEDIKA HEMANT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451</v>
      </c>
      <c r="B63" s="11" t="str">
        <f>'Summary Sheet'!B62</f>
        <v xml:space="preserve">PUJARI NIKITA JAKAPPA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452</v>
      </c>
      <c r="B64" s="11" t="str">
        <f>'Summary Sheet'!B63</f>
        <v>RENUSE ASHU  RAVINDRA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453</v>
      </c>
      <c r="B65" s="11" t="str">
        <f>'Summary Sheet'!B64</f>
        <v>SALUNKE SIDDHI  DATTATRAY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454</v>
      </c>
      <c r="B66" s="11" t="str">
        <f>'Summary Sheet'!B65</f>
        <v>PATIL SEJAL MAHESH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455</v>
      </c>
      <c r="B67" s="11" t="str">
        <f>'Summary Sheet'!B66</f>
        <v xml:space="preserve">SHAIKH  TEHSEENA  ABDUL RASHID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456</v>
      </c>
      <c r="B68" s="11" t="str">
        <f>'Summary Sheet'!B67</f>
        <v xml:space="preserve">SHELKE  TEJASVINI  SANJAY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457</v>
      </c>
      <c r="B69" s="11" t="str">
        <f>'Summary Sheet'!B68</f>
        <v xml:space="preserve">SHINDE SAKSHI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458</v>
      </c>
      <c r="B70" s="11" t="str">
        <f>'Summary Sheet'!B69</f>
        <v xml:space="preserve">DHADAVE  SHRAVANI PRASHANT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459</v>
      </c>
      <c r="B71" s="11" t="str">
        <f>'Summary Sheet'!B70</f>
        <v>JAMDADE SHRAVANI SUNIL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460</v>
      </c>
      <c r="B72" s="11" t="str">
        <f>'Summary Sheet'!B71</f>
        <v xml:space="preserve">SIDAM  SHRAVANI  TUKARAM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461</v>
      </c>
      <c r="B73" s="11" t="str">
        <f>'Summary Sheet'!B72</f>
        <v xml:space="preserve">SUKALE  ESHAWARI  SUNIL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462</v>
      </c>
      <c r="B74" s="11" t="str">
        <f>'Summary Sheet'!B73</f>
        <v xml:space="preserve">RAJOLE TANAYAA BHALCHANDRA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463</v>
      </c>
      <c r="B75" s="11" t="str">
        <f>'Summary Sheet'!B74</f>
        <v>TANDEKAR VANSHIKA BHIVDAS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464</v>
      </c>
      <c r="B76" s="11" t="str">
        <f>'Summary Sheet'!B75</f>
        <v xml:space="preserve">TARALKAR  MRUDULA  PANKAJ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465</v>
      </c>
      <c r="B77" s="11" t="str">
        <f>'Summary Sheet'!B76</f>
        <v>TAVHARE RIYA NAWNATH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466</v>
      </c>
      <c r="B78" s="11" t="str">
        <f>'Summary Sheet'!B77</f>
        <v xml:space="preserve">TODKAR GUNJAN  MANOJ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467</v>
      </c>
      <c r="B79" s="11" t="str">
        <f>'Summary Sheet'!B78</f>
        <v xml:space="preserve">VAISHNAV  SAMIKSHA PANKAJ 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468</v>
      </c>
      <c r="B80" s="11" t="str">
        <f>'Summary Sheet'!B79</f>
        <v xml:space="preserve">AGRAWAL  YUKTI  NILESH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469</v>
      </c>
      <c r="B81" s="11" t="str">
        <f>'Summary Sheet'!B80</f>
        <v>GENDEWAD VEDIKA SHIVAJI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B90" sqref="B90"/>
    </sheetView>
  </sheetViews>
  <sheetFormatPr defaultRowHeight="15" x14ac:dyDescent="0.25"/>
  <cols>
    <col min="1" max="1" width="15.5703125" style="3" customWidth="1"/>
    <col min="2" max="2" width="42.85546875" style="3" bestFit="1" customWidth="1"/>
    <col min="3" max="6" width="8.7109375" style="3" customWidth="1"/>
    <col min="7" max="7" width="11.28515625" style="3" customWidth="1"/>
    <col min="8" max="8" width="8.7109375" style="3" customWidth="1"/>
    <col min="9" max="9" width="12.28515625" style="3" customWidth="1"/>
    <col min="10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3" spans="1:9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s="7" customFormat="1" ht="15.75" x14ac:dyDescent="0.25">
      <c r="A4" s="5" t="s">
        <v>3</v>
      </c>
      <c r="B4" s="6" t="s">
        <v>4</v>
      </c>
    </row>
    <row r="5" spans="1:9" ht="15.75" x14ac:dyDescent="0.25">
      <c r="A5" s="5" t="s">
        <v>5</v>
      </c>
      <c r="C5" s="7"/>
      <c r="D5" s="2"/>
      <c r="E5" s="2"/>
      <c r="F5" s="2"/>
      <c r="G5" s="2"/>
    </row>
    <row r="6" spans="1:9" ht="15.75" x14ac:dyDescent="0.25">
      <c r="A6" s="5" t="s">
        <v>6</v>
      </c>
      <c r="B6" s="2"/>
      <c r="C6" s="2"/>
      <c r="D6" s="2"/>
      <c r="E6" s="2"/>
      <c r="F6" s="2"/>
      <c r="G6" s="2"/>
    </row>
    <row r="7" spans="1:9" ht="15.75" x14ac:dyDescent="0.25">
      <c r="A7" s="5" t="s">
        <v>7</v>
      </c>
      <c r="B7" s="8" t="s">
        <v>8</v>
      </c>
      <c r="C7" s="5" t="s">
        <v>9</v>
      </c>
      <c r="D7" s="2"/>
      <c r="E7" s="2"/>
      <c r="F7" s="2"/>
      <c r="G7" s="2"/>
    </row>
    <row r="8" spans="1:9" s="6" customFormat="1" ht="14.25" x14ac:dyDescent="0.2">
      <c r="A8" s="9"/>
      <c r="B8" s="9"/>
      <c r="C8" s="20" t="s">
        <v>10</v>
      </c>
      <c r="D8" s="21"/>
      <c r="E8" s="21"/>
      <c r="F8" s="21"/>
      <c r="G8" s="22"/>
      <c r="H8" s="23" t="s">
        <v>11</v>
      </c>
      <c r="I8" s="23" t="s">
        <v>12</v>
      </c>
    </row>
    <row r="9" spans="1:9" s="6" customFormat="1" ht="14.25" x14ac:dyDescent="0.2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3"/>
      <c r="I9" s="23"/>
    </row>
    <row r="10" spans="1:9" s="6" customFormat="1" ht="59.25" customHeight="1" x14ac:dyDescent="0.2">
      <c r="A10" s="9"/>
      <c r="B10" s="9"/>
      <c r="C10" s="23" t="s">
        <v>20</v>
      </c>
      <c r="D10" s="23"/>
      <c r="E10" s="23" t="s">
        <v>21</v>
      </c>
      <c r="F10" s="23"/>
      <c r="G10" s="10" t="s">
        <v>22</v>
      </c>
      <c r="H10" s="23"/>
      <c r="I10" s="23"/>
    </row>
    <row r="11" spans="1:9" x14ac:dyDescent="0.25">
      <c r="A11" s="11"/>
      <c r="B11" s="12" t="s">
        <v>23</v>
      </c>
      <c r="C11" s="9">
        <v>6</v>
      </c>
      <c r="D11" s="9">
        <v>6</v>
      </c>
      <c r="E11" s="9">
        <v>6</v>
      </c>
      <c r="F11" s="9">
        <v>6</v>
      </c>
      <c r="G11" s="9">
        <v>6</v>
      </c>
      <c r="H11" s="9">
        <f>SUM(C11:G11)</f>
        <v>30</v>
      </c>
      <c r="I11" s="11"/>
    </row>
    <row r="12" spans="1:9" x14ac:dyDescent="0.25">
      <c r="A12" s="11"/>
      <c r="B12" s="12" t="s">
        <v>24</v>
      </c>
      <c r="C12" s="9"/>
      <c r="D12" s="9"/>
      <c r="E12" s="9"/>
      <c r="F12" s="9"/>
      <c r="G12" s="9"/>
      <c r="H12" s="9">
        <f t="shared" ref="H12:H75" si="0">SUM(C12:G12)</f>
        <v>0</v>
      </c>
      <c r="I12" s="11"/>
    </row>
    <row r="13" spans="1:9" x14ac:dyDescent="0.25">
      <c r="A13" s="13">
        <f>'Summary Sheet'!A12</f>
        <v>401</v>
      </c>
      <c r="B13" s="11" t="str">
        <f>'Summary Sheet'!B12</f>
        <v>TIWARY ADITA AJIT</v>
      </c>
      <c r="C13" s="11"/>
      <c r="D13" s="11"/>
      <c r="E13" s="11"/>
      <c r="F13" s="11"/>
      <c r="G13" s="11"/>
      <c r="H13" s="9">
        <f t="shared" si="0"/>
        <v>0</v>
      </c>
      <c r="I13" s="11"/>
    </row>
    <row r="14" spans="1:9" x14ac:dyDescent="0.25">
      <c r="A14" s="13">
        <f>'Summary Sheet'!A13</f>
        <v>402</v>
      </c>
      <c r="B14" s="11" t="str">
        <f>'Summary Sheet'!B13</f>
        <v xml:space="preserve">FULZELE AMRUTA HIRALAL </v>
      </c>
      <c r="C14" s="11"/>
      <c r="D14" s="11"/>
      <c r="E14" s="11"/>
      <c r="F14" s="11"/>
      <c r="G14" s="11"/>
      <c r="H14" s="9">
        <f t="shared" si="0"/>
        <v>0</v>
      </c>
      <c r="I14" s="11"/>
    </row>
    <row r="15" spans="1:9" x14ac:dyDescent="0.25">
      <c r="A15" s="13">
        <f>'Summary Sheet'!A14</f>
        <v>403</v>
      </c>
      <c r="B15" s="11" t="str">
        <f>'Summary Sheet'!B14</f>
        <v>ANBHULE ADITI NAMDEO</v>
      </c>
      <c r="C15" s="11"/>
      <c r="D15" s="11"/>
      <c r="E15" s="11"/>
      <c r="F15" s="11"/>
      <c r="G15" s="11"/>
      <c r="H15" s="9">
        <f t="shared" si="0"/>
        <v>0</v>
      </c>
      <c r="I15" s="11"/>
    </row>
    <row r="16" spans="1:9" x14ac:dyDescent="0.25">
      <c r="A16" s="13">
        <f>'Summary Sheet'!A15</f>
        <v>404</v>
      </c>
      <c r="B16" s="11" t="str">
        <f>'Summary Sheet'!B15</f>
        <v xml:space="preserve">ANBHULE  SHIVANI  SANDIP </v>
      </c>
      <c r="C16" s="11"/>
      <c r="D16" s="11"/>
      <c r="E16" s="11"/>
      <c r="F16" s="11"/>
      <c r="G16" s="11"/>
      <c r="H16" s="9">
        <f t="shared" si="0"/>
        <v>0</v>
      </c>
      <c r="I16" s="11"/>
    </row>
    <row r="17" spans="1:9" x14ac:dyDescent="0.25">
      <c r="A17" s="13">
        <f>'Summary Sheet'!A16</f>
        <v>405</v>
      </c>
      <c r="B17" s="11" t="str">
        <f>'Summary Sheet'!B16</f>
        <v>SAI PRAJNA B</v>
      </c>
      <c r="C17" s="11"/>
      <c r="D17" s="11"/>
      <c r="E17" s="11"/>
      <c r="F17" s="11"/>
      <c r="G17" s="11"/>
      <c r="H17" s="9">
        <f t="shared" si="0"/>
        <v>0</v>
      </c>
      <c r="I17" s="11"/>
    </row>
    <row r="18" spans="1:9" x14ac:dyDescent="0.25">
      <c r="A18" s="13">
        <f>'Summary Sheet'!A17</f>
        <v>406</v>
      </c>
      <c r="B18" s="11" t="str">
        <f>'Summary Sheet'!B17</f>
        <v xml:space="preserve">BADAGU  GRISHMA GANESH </v>
      </c>
      <c r="C18" s="11"/>
      <c r="D18" s="11"/>
      <c r="E18" s="11"/>
      <c r="F18" s="11"/>
      <c r="G18" s="11"/>
      <c r="H18" s="9">
        <f t="shared" si="0"/>
        <v>0</v>
      </c>
      <c r="I18" s="11"/>
    </row>
    <row r="19" spans="1:9" x14ac:dyDescent="0.25">
      <c r="A19" s="13">
        <f>'Summary Sheet'!A18</f>
        <v>407</v>
      </c>
      <c r="B19" s="11" t="str">
        <f>'Summary Sheet'!B18</f>
        <v xml:space="preserve">BANDAL  KAVERI  MOHAN </v>
      </c>
      <c r="C19" s="11"/>
      <c r="D19" s="11"/>
      <c r="E19" s="11"/>
      <c r="F19" s="11"/>
      <c r="G19" s="11"/>
      <c r="H19" s="9">
        <f t="shared" si="0"/>
        <v>0</v>
      </c>
      <c r="I19" s="11"/>
    </row>
    <row r="20" spans="1:9" x14ac:dyDescent="0.25">
      <c r="A20" s="13">
        <f>'Summary Sheet'!A19</f>
        <v>408</v>
      </c>
      <c r="B20" s="11" t="str">
        <f>'Summary Sheet'!B19</f>
        <v xml:space="preserve">BARVE ASMITA  ABHISHEK </v>
      </c>
      <c r="C20" s="11"/>
      <c r="D20" s="11"/>
      <c r="E20" s="11"/>
      <c r="F20" s="11"/>
      <c r="G20" s="11"/>
      <c r="H20" s="9">
        <f t="shared" si="0"/>
        <v>0</v>
      </c>
      <c r="I20" s="11"/>
    </row>
    <row r="21" spans="1:9" x14ac:dyDescent="0.25">
      <c r="A21" s="13">
        <f>'Summary Sheet'!A20</f>
        <v>409</v>
      </c>
      <c r="B21" s="11" t="str">
        <f>'Summary Sheet'!B20</f>
        <v>BHOSALE MIHIKA MANSING</v>
      </c>
      <c r="C21" s="11"/>
      <c r="D21" s="11"/>
      <c r="E21" s="11"/>
      <c r="F21" s="11"/>
      <c r="G21" s="11"/>
      <c r="H21" s="9">
        <f t="shared" si="0"/>
        <v>0</v>
      </c>
      <c r="I21" s="11"/>
    </row>
    <row r="22" spans="1:9" x14ac:dyDescent="0.25">
      <c r="A22" s="13">
        <f>'Summary Sheet'!A21</f>
        <v>410</v>
      </c>
      <c r="B22" s="11" t="str">
        <f>'Summary Sheet'!B21</f>
        <v>BONDRE ASMITA  KAILAS</v>
      </c>
      <c r="C22" s="11"/>
      <c r="D22" s="11"/>
      <c r="E22" s="11"/>
      <c r="F22" s="11"/>
      <c r="G22" s="11"/>
      <c r="H22" s="9">
        <f t="shared" si="0"/>
        <v>0</v>
      </c>
      <c r="I22" s="11"/>
    </row>
    <row r="23" spans="1:9" x14ac:dyDescent="0.25">
      <c r="A23" s="13">
        <f>'Summary Sheet'!A22</f>
        <v>411</v>
      </c>
      <c r="B23" s="11" t="str">
        <f>'Summary Sheet'!B22</f>
        <v>CHAVAN  HARIPRIYA  SATISH</v>
      </c>
      <c r="C23" s="11"/>
      <c r="D23" s="11"/>
      <c r="E23" s="11"/>
      <c r="F23" s="11"/>
      <c r="G23" s="11"/>
      <c r="H23" s="9">
        <f t="shared" si="0"/>
        <v>0</v>
      </c>
      <c r="I23" s="11"/>
    </row>
    <row r="24" spans="1:9" x14ac:dyDescent="0.25">
      <c r="A24" s="13">
        <f>'Summary Sheet'!A23</f>
        <v>412</v>
      </c>
      <c r="B24" s="11" t="str">
        <f>'Summary Sheet'!B23</f>
        <v>CHAVAN  NEHA BHIVSEN</v>
      </c>
      <c r="C24" s="11"/>
      <c r="D24" s="11"/>
      <c r="E24" s="11"/>
      <c r="F24" s="11"/>
      <c r="G24" s="11"/>
      <c r="H24" s="9">
        <f t="shared" si="0"/>
        <v>0</v>
      </c>
      <c r="I24" s="11"/>
    </row>
    <row r="25" spans="1:9" x14ac:dyDescent="0.25">
      <c r="A25" s="13">
        <f>'Summary Sheet'!A24</f>
        <v>413</v>
      </c>
      <c r="B25" s="11" t="str">
        <f>'Summary Sheet'!B24</f>
        <v xml:space="preserve">CHAVAN  SHARWARI  YOGESH </v>
      </c>
      <c r="C25" s="11"/>
      <c r="D25" s="11"/>
      <c r="E25" s="11"/>
      <c r="F25" s="11"/>
      <c r="G25" s="11"/>
      <c r="H25" s="9">
        <f t="shared" si="0"/>
        <v>0</v>
      </c>
      <c r="I25" s="11"/>
    </row>
    <row r="26" spans="1:9" x14ac:dyDescent="0.25">
      <c r="A26" s="13">
        <f>'Summary Sheet'!A25</f>
        <v>414</v>
      </c>
      <c r="B26" s="11" t="str">
        <f>'Summary Sheet'!B25</f>
        <v>CHILWANT  GAURI SATISH</v>
      </c>
      <c r="C26" s="11"/>
      <c r="D26" s="11"/>
      <c r="E26" s="11"/>
      <c r="F26" s="11"/>
      <c r="G26" s="11"/>
      <c r="H26" s="9">
        <f t="shared" si="0"/>
        <v>0</v>
      </c>
      <c r="I26" s="11"/>
    </row>
    <row r="27" spans="1:9" x14ac:dyDescent="0.25">
      <c r="A27" s="13">
        <f>'Summary Sheet'!A26</f>
        <v>415</v>
      </c>
      <c r="B27" s="11" t="str">
        <f>'Summary Sheet'!B26</f>
        <v xml:space="preserve">CHOBE  ANUSHKA  SANJAY </v>
      </c>
      <c r="C27" s="11"/>
      <c r="D27" s="11"/>
      <c r="E27" s="11"/>
      <c r="F27" s="11"/>
      <c r="G27" s="11"/>
      <c r="H27" s="9">
        <f t="shared" si="0"/>
        <v>0</v>
      </c>
      <c r="I27" s="11"/>
    </row>
    <row r="28" spans="1:9" x14ac:dyDescent="0.25">
      <c r="A28" s="13">
        <f>'Summary Sheet'!A27</f>
        <v>416</v>
      </c>
      <c r="B28" s="11" t="str">
        <f>'Summary Sheet'!B27</f>
        <v>CHOLKE PRERNA SACHIN</v>
      </c>
      <c r="C28" s="11"/>
      <c r="D28" s="11"/>
      <c r="E28" s="11"/>
      <c r="F28" s="11"/>
      <c r="G28" s="11"/>
      <c r="H28" s="9">
        <f t="shared" si="0"/>
        <v>0</v>
      </c>
      <c r="I28" s="11"/>
    </row>
    <row r="29" spans="1:9" x14ac:dyDescent="0.25">
      <c r="A29" s="13">
        <f>'Summary Sheet'!A28</f>
        <v>417</v>
      </c>
      <c r="B29" s="11" t="str">
        <f>'Summary Sheet'!B28</f>
        <v xml:space="preserve">DATIR  SAMRUDDHI  BALASAHEB </v>
      </c>
      <c r="C29" s="11"/>
      <c r="D29" s="11"/>
      <c r="E29" s="11"/>
      <c r="F29" s="11"/>
      <c r="G29" s="11"/>
      <c r="H29" s="9">
        <f t="shared" si="0"/>
        <v>0</v>
      </c>
      <c r="I29" s="11"/>
    </row>
    <row r="30" spans="1:9" x14ac:dyDescent="0.25">
      <c r="A30" s="13">
        <f>'Summary Sheet'!A29</f>
        <v>418</v>
      </c>
      <c r="B30" s="11" t="str">
        <f>'Summary Sheet'!B29</f>
        <v xml:space="preserve">GAIKWAD SRUSHTI BHAUSAHEB </v>
      </c>
      <c r="C30" s="11"/>
      <c r="D30" s="11"/>
      <c r="E30" s="11"/>
      <c r="F30" s="11"/>
      <c r="G30" s="11"/>
      <c r="H30" s="9">
        <f t="shared" si="0"/>
        <v>0</v>
      </c>
      <c r="I30" s="11"/>
    </row>
    <row r="31" spans="1:9" x14ac:dyDescent="0.25">
      <c r="A31" s="13">
        <f>'Summary Sheet'!A30</f>
        <v>419</v>
      </c>
      <c r="B31" s="11" t="str">
        <f>'Summary Sheet'!B30</f>
        <v>GEJAGE SAMRUDDHI  SATISH</v>
      </c>
      <c r="C31" s="11"/>
      <c r="D31" s="11"/>
      <c r="E31" s="11"/>
      <c r="F31" s="11"/>
      <c r="G31" s="11"/>
      <c r="H31" s="9">
        <f t="shared" si="0"/>
        <v>0</v>
      </c>
      <c r="I31" s="11"/>
    </row>
    <row r="32" spans="1:9" x14ac:dyDescent="0.25">
      <c r="A32" s="13">
        <f>'Summary Sheet'!A31</f>
        <v>420</v>
      </c>
      <c r="B32" s="11" t="str">
        <f>'Summary Sheet'!B31</f>
        <v xml:space="preserve">GHARBUDVE  DHANASHREE  MADHUKAR </v>
      </c>
      <c r="C32" s="11"/>
      <c r="D32" s="11"/>
      <c r="E32" s="11"/>
      <c r="F32" s="11"/>
      <c r="G32" s="11"/>
      <c r="H32" s="9">
        <f t="shared" si="0"/>
        <v>0</v>
      </c>
      <c r="I32" s="11"/>
    </row>
    <row r="33" spans="1:9" x14ac:dyDescent="0.25">
      <c r="A33" s="13">
        <f>'Summary Sheet'!A32</f>
        <v>421</v>
      </c>
      <c r="B33" s="11" t="str">
        <f>'Summary Sheet'!B32</f>
        <v xml:space="preserve">GHOM ARYA BHAIYA </v>
      </c>
      <c r="C33" s="11"/>
      <c r="D33" s="11"/>
      <c r="E33" s="11"/>
      <c r="F33" s="11"/>
      <c r="G33" s="11"/>
      <c r="H33" s="9">
        <f t="shared" si="0"/>
        <v>0</v>
      </c>
      <c r="I33" s="11"/>
    </row>
    <row r="34" spans="1:9" x14ac:dyDescent="0.25">
      <c r="A34" s="13">
        <f>'Summary Sheet'!A33</f>
        <v>422</v>
      </c>
      <c r="B34" s="11" t="str">
        <f>'Summary Sheet'!B33</f>
        <v xml:space="preserve">GUND  ANUJA  BALASAHEB </v>
      </c>
      <c r="C34" s="11"/>
      <c r="D34" s="11"/>
      <c r="E34" s="11"/>
      <c r="F34" s="11"/>
      <c r="G34" s="11"/>
      <c r="H34" s="9">
        <f t="shared" si="0"/>
        <v>0</v>
      </c>
      <c r="I34" s="11"/>
    </row>
    <row r="35" spans="1:9" x14ac:dyDescent="0.25">
      <c r="A35" s="13">
        <f>'Summary Sheet'!A34</f>
        <v>423</v>
      </c>
      <c r="B35" s="11" t="str">
        <f>'Summary Sheet'!B34</f>
        <v xml:space="preserve">INGOLE  KASHISH  ANANT </v>
      </c>
      <c r="C35" s="11"/>
      <c r="D35" s="11"/>
      <c r="E35" s="11"/>
      <c r="F35" s="11"/>
      <c r="G35" s="11"/>
      <c r="H35" s="9">
        <f t="shared" si="0"/>
        <v>0</v>
      </c>
      <c r="I35" s="11"/>
    </row>
    <row r="36" spans="1:9" x14ac:dyDescent="0.25">
      <c r="A36" s="13">
        <f>'Summary Sheet'!A35</f>
        <v>424</v>
      </c>
      <c r="B36" s="11" t="str">
        <f>'Summary Sheet'!B35</f>
        <v>SHAIKH INSHEERA MANSUR</v>
      </c>
      <c r="C36" s="11"/>
      <c r="D36" s="11"/>
      <c r="E36" s="11"/>
      <c r="F36" s="11"/>
      <c r="G36" s="11"/>
      <c r="H36" s="9">
        <f t="shared" si="0"/>
        <v>0</v>
      </c>
      <c r="I36" s="11"/>
    </row>
    <row r="37" spans="1:9" x14ac:dyDescent="0.25">
      <c r="A37" s="13">
        <f>'Summary Sheet'!A36</f>
        <v>425</v>
      </c>
      <c r="B37" s="11" t="str">
        <f>'Summary Sheet'!B36</f>
        <v>JADHAV SANSKRUTI SACHIN</v>
      </c>
      <c r="C37" s="11"/>
      <c r="D37" s="11"/>
      <c r="E37" s="11"/>
      <c r="F37" s="11"/>
      <c r="G37" s="11"/>
      <c r="H37" s="9">
        <f t="shared" si="0"/>
        <v>0</v>
      </c>
      <c r="I37" s="11"/>
    </row>
    <row r="38" spans="1:9" x14ac:dyDescent="0.25">
      <c r="A38" s="13">
        <f>'Summary Sheet'!A37</f>
        <v>426</v>
      </c>
      <c r="B38" s="11" t="str">
        <f>'Summary Sheet'!B37</f>
        <v>JAGTAP SHRAVANI VIJAY</v>
      </c>
      <c r="C38" s="11"/>
      <c r="D38" s="11"/>
      <c r="E38" s="11"/>
      <c r="F38" s="11"/>
      <c r="G38" s="11"/>
      <c r="H38" s="9">
        <f t="shared" si="0"/>
        <v>0</v>
      </c>
      <c r="I38" s="11"/>
    </row>
    <row r="39" spans="1:9" x14ac:dyDescent="0.25">
      <c r="A39" s="13">
        <f>'Summary Sheet'!A38</f>
        <v>427</v>
      </c>
      <c r="B39" s="11" t="str">
        <f>'Summary Sheet'!B38</f>
        <v>JAGTAP  TANISHKA  BHARAT</v>
      </c>
      <c r="C39" s="11"/>
      <c r="D39" s="11"/>
      <c r="E39" s="11"/>
      <c r="F39" s="11"/>
      <c r="G39" s="11"/>
      <c r="H39" s="9">
        <f t="shared" si="0"/>
        <v>0</v>
      </c>
      <c r="I39" s="11"/>
    </row>
    <row r="40" spans="1:9" x14ac:dyDescent="0.25">
      <c r="A40" s="13">
        <f>'Summary Sheet'!A39</f>
        <v>428</v>
      </c>
      <c r="B40" s="11" t="str">
        <f>'Summary Sheet'!B39</f>
        <v>JANGID ANJU NAVRATMAL</v>
      </c>
      <c r="C40" s="11"/>
      <c r="D40" s="11"/>
      <c r="E40" s="11"/>
      <c r="F40" s="11"/>
      <c r="G40" s="11"/>
      <c r="H40" s="9">
        <f t="shared" si="0"/>
        <v>0</v>
      </c>
      <c r="I40" s="11"/>
    </row>
    <row r="41" spans="1:9" x14ac:dyDescent="0.25">
      <c r="A41" s="13">
        <f>'Summary Sheet'!A40</f>
        <v>429</v>
      </c>
      <c r="B41" s="11" t="str">
        <f>'Summary Sheet'!B40</f>
        <v>JHA NIVEDITA RAJESH</v>
      </c>
      <c r="C41" s="11"/>
      <c r="D41" s="11"/>
      <c r="E41" s="11"/>
      <c r="F41" s="11"/>
      <c r="G41" s="11"/>
      <c r="H41" s="9">
        <f t="shared" si="0"/>
        <v>0</v>
      </c>
      <c r="I41" s="11"/>
    </row>
    <row r="42" spans="1:9" x14ac:dyDescent="0.25">
      <c r="A42" s="13">
        <f>'Summary Sheet'!A41</f>
        <v>430</v>
      </c>
      <c r="B42" s="11" t="str">
        <f>'Summary Sheet'!B41</f>
        <v>KADAM SRUSHTI  ARUN</v>
      </c>
      <c r="C42" s="11"/>
      <c r="D42" s="11"/>
      <c r="E42" s="11"/>
      <c r="F42" s="11"/>
      <c r="G42" s="11"/>
      <c r="H42" s="9">
        <f t="shared" si="0"/>
        <v>0</v>
      </c>
      <c r="I42" s="11"/>
    </row>
    <row r="43" spans="1:9" x14ac:dyDescent="0.25">
      <c r="A43" s="13">
        <f>'Summary Sheet'!A42</f>
        <v>431</v>
      </c>
      <c r="B43" s="11" t="str">
        <f>'Summary Sheet'!B42</f>
        <v>KALASE PRANITA PRAKASH</v>
      </c>
      <c r="C43" s="11"/>
      <c r="D43" s="11"/>
      <c r="E43" s="11"/>
      <c r="F43" s="11"/>
      <c r="G43" s="11"/>
      <c r="H43" s="9">
        <f t="shared" si="0"/>
        <v>0</v>
      </c>
      <c r="I43" s="11"/>
    </row>
    <row r="44" spans="1:9" x14ac:dyDescent="0.25">
      <c r="A44" s="13">
        <f>'Summary Sheet'!A43</f>
        <v>432</v>
      </c>
      <c r="B44" s="11" t="str">
        <f>'Summary Sheet'!B43</f>
        <v xml:space="preserve">KANADE SHRADDHA  DHANANJAY </v>
      </c>
      <c r="C44" s="11"/>
      <c r="D44" s="11"/>
      <c r="E44" s="11"/>
      <c r="F44" s="11"/>
      <c r="G44" s="11"/>
      <c r="H44" s="9">
        <f t="shared" si="0"/>
        <v>0</v>
      </c>
      <c r="I44" s="11"/>
    </row>
    <row r="45" spans="1:9" x14ac:dyDescent="0.25">
      <c r="A45" s="13">
        <f>'Summary Sheet'!A44</f>
        <v>433</v>
      </c>
      <c r="B45" s="11" t="str">
        <f>'Summary Sheet'!B44</f>
        <v>KHARAT AISHWARYA  SURESH</v>
      </c>
      <c r="C45" s="11"/>
      <c r="D45" s="11"/>
      <c r="E45" s="11"/>
      <c r="F45" s="11"/>
      <c r="G45" s="11"/>
      <c r="H45" s="9">
        <f t="shared" si="0"/>
        <v>0</v>
      </c>
      <c r="I45" s="11"/>
    </row>
    <row r="46" spans="1:9" x14ac:dyDescent="0.25">
      <c r="A46" s="13">
        <f>'Summary Sheet'!A45</f>
        <v>434</v>
      </c>
      <c r="B46" s="11" t="str">
        <f>'Summary Sheet'!B45</f>
        <v>KHARDE PAYAL AJAY</v>
      </c>
      <c r="C46" s="11"/>
      <c r="D46" s="11"/>
      <c r="E46" s="11"/>
      <c r="F46" s="11"/>
      <c r="G46" s="11"/>
      <c r="H46" s="9">
        <f t="shared" si="0"/>
        <v>0</v>
      </c>
      <c r="I46" s="11"/>
    </row>
    <row r="47" spans="1:9" x14ac:dyDescent="0.25">
      <c r="A47" s="13">
        <f>'Summary Sheet'!A46</f>
        <v>435</v>
      </c>
      <c r="B47" s="11" t="str">
        <f>'Summary Sheet'!B46</f>
        <v>DODE KHUSHI  KAILAS</v>
      </c>
      <c r="C47" s="11"/>
      <c r="D47" s="11"/>
      <c r="E47" s="11"/>
      <c r="F47" s="11"/>
      <c r="G47" s="11"/>
      <c r="H47" s="9">
        <f t="shared" si="0"/>
        <v>0</v>
      </c>
      <c r="I47" s="11"/>
    </row>
    <row r="48" spans="1:9" x14ac:dyDescent="0.25">
      <c r="A48" s="13">
        <f>'Summary Sheet'!A47</f>
        <v>436</v>
      </c>
      <c r="B48" s="11" t="str">
        <f>'Summary Sheet'!B47</f>
        <v xml:space="preserve">KIRVE ANUSHKA RAVINDRA </v>
      </c>
      <c r="C48" s="11"/>
      <c r="D48" s="11"/>
      <c r="E48" s="11"/>
      <c r="F48" s="11"/>
      <c r="G48" s="11"/>
      <c r="H48" s="9">
        <f t="shared" si="0"/>
        <v>0</v>
      </c>
      <c r="I48" s="11"/>
    </row>
    <row r="49" spans="1:9" x14ac:dyDescent="0.25">
      <c r="A49" s="13">
        <f>'Summary Sheet'!A48</f>
        <v>437</v>
      </c>
      <c r="B49" s="11" t="str">
        <f>'Summary Sheet'!B48</f>
        <v xml:space="preserve">KOKARE  APEKSHA  PINUKDEV </v>
      </c>
      <c r="C49" s="11"/>
      <c r="D49" s="11"/>
      <c r="E49" s="11"/>
      <c r="F49" s="11"/>
      <c r="G49" s="11"/>
      <c r="H49" s="9">
        <f t="shared" si="0"/>
        <v>0</v>
      </c>
      <c r="I49" s="11"/>
    </row>
    <row r="50" spans="1:9" x14ac:dyDescent="0.25">
      <c r="A50" s="13">
        <f>'Summary Sheet'!A49</f>
        <v>438</v>
      </c>
      <c r="B50" s="11" t="str">
        <f>'Summary Sheet'!B49</f>
        <v>KULKARNI  AVANI SHIVAJI</v>
      </c>
      <c r="C50" s="11"/>
      <c r="D50" s="11"/>
      <c r="E50" s="11"/>
      <c r="F50" s="11"/>
      <c r="G50" s="11"/>
      <c r="H50" s="9">
        <f t="shared" si="0"/>
        <v>0</v>
      </c>
      <c r="I50" s="11"/>
    </row>
    <row r="51" spans="1:9" x14ac:dyDescent="0.25">
      <c r="A51" s="13">
        <f>'Summary Sheet'!A50</f>
        <v>439</v>
      </c>
      <c r="B51" s="11" t="str">
        <f>'Summary Sheet'!B50</f>
        <v>LAWAND RUTUJA RAMESH</v>
      </c>
      <c r="C51" s="11"/>
      <c r="D51" s="11"/>
      <c r="E51" s="11"/>
      <c r="F51" s="11"/>
      <c r="G51" s="11"/>
      <c r="H51" s="9">
        <f t="shared" si="0"/>
        <v>0</v>
      </c>
      <c r="I51" s="11"/>
    </row>
    <row r="52" spans="1:9" x14ac:dyDescent="0.25">
      <c r="A52" s="13">
        <f>'Summary Sheet'!A51</f>
        <v>440</v>
      </c>
      <c r="B52" s="11" t="str">
        <f>'Summary Sheet'!B51</f>
        <v xml:space="preserve">  </v>
      </c>
      <c r="C52" s="11"/>
      <c r="D52" s="11"/>
      <c r="E52" s="11"/>
      <c r="F52" s="11"/>
      <c r="G52" s="11"/>
      <c r="H52" s="9">
        <f t="shared" si="0"/>
        <v>0</v>
      </c>
      <c r="I52" s="11"/>
    </row>
    <row r="53" spans="1:9" x14ac:dyDescent="0.25">
      <c r="A53" s="13">
        <f>'Summary Sheet'!A52</f>
        <v>441</v>
      </c>
      <c r="B53" s="11" t="str">
        <f>'Summary Sheet'!B52</f>
        <v>MAKHARE  RIYA TUSHAR</v>
      </c>
      <c r="C53" s="11"/>
      <c r="D53" s="11"/>
      <c r="E53" s="11"/>
      <c r="F53" s="11"/>
      <c r="G53" s="11"/>
      <c r="H53" s="9">
        <f t="shared" si="0"/>
        <v>0</v>
      </c>
      <c r="I53" s="11"/>
    </row>
    <row r="54" spans="1:9" x14ac:dyDescent="0.25">
      <c r="A54" s="13">
        <f>'Summary Sheet'!A53</f>
        <v>442</v>
      </c>
      <c r="B54" s="11" t="str">
        <f>'Summary Sheet'!B53</f>
        <v>MHATRE SWARA  SURAJ</v>
      </c>
      <c r="C54" s="11"/>
      <c r="D54" s="11"/>
      <c r="E54" s="11"/>
      <c r="F54" s="11"/>
      <c r="G54" s="11"/>
      <c r="H54" s="9">
        <f t="shared" si="0"/>
        <v>0</v>
      </c>
      <c r="I54" s="11"/>
    </row>
    <row r="55" spans="1:9" x14ac:dyDescent="0.25">
      <c r="A55" s="13">
        <f>'Summary Sheet'!A54</f>
        <v>443</v>
      </c>
      <c r="B55" s="11" t="str">
        <f>'Summary Sheet'!B54</f>
        <v xml:space="preserve">MODAK  SANIKA  ABASAHEB </v>
      </c>
      <c r="C55" s="11"/>
      <c r="D55" s="11"/>
      <c r="E55" s="11"/>
      <c r="F55" s="11"/>
      <c r="G55" s="11"/>
      <c r="H55" s="9">
        <f t="shared" si="0"/>
        <v>0</v>
      </c>
      <c r="I55" s="11"/>
    </row>
    <row r="56" spans="1:9" x14ac:dyDescent="0.25">
      <c r="A56" s="13">
        <f>'Summary Sheet'!A55</f>
        <v>444</v>
      </c>
      <c r="B56" s="11" t="str">
        <f>'Summary Sheet'!B55</f>
        <v xml:space="preserve">MORE SAKSHI  PRAKASH </v>
      </c>
      <c r="C56" s="11"/>
      <c r="D56" s="11"/>
      <c r="E56" s="11"/>
      <c r="F56" s="11"/>
      <c r="G56" s="11"/>
      <c r="H56" s="9">
        <f t="shared" si="0"/>
        <v>0</v>
      </c>
      <c r="I56" s="11"/>
    </row>
    <row r="57" spans="1:9" x14ac:dyDescent="0.25">
      <c r="A57" s="13">
        <f>'Summary Sheet'!A56</f>
        <v>445</v>
      </c>
      <c r="B57" s="11" t="str">
        <f>'Summary Sheet'!B56</f>
        <v>NETAKE  RUTIKA  LAXMAN</v>
      </c>
      <c r="C57" s="11"/>
      <c r="D57" s="11"/>
      <c r="E57" s="11"/>
      <c r="F57" s="11"/>
      <c r="G57" s="11"/>
      <c r="H57" s="9">
        <f t="shared" si="0"/>
        <v>0</v>
      </c>
      <c r="I57" s="11"/>
    </row>
    <row r="58" spans="1:9" x14ac:dyDescent="0.25">
      <c r="A58" s="13">
        <f>'Summary Sheet'!A57</f>
        <v>446</v>
      </c>
      <c r="B58" s="11" t="str">
        <f>'Summary Sheet'!B57</f>
        <v>PARDESHI  RIYA  MANOJ</v>
      </c>
      <c r="C58" s="11"/>
      <c r="D58" s="11"/>
      <c r="E58" s="11"/>
      <c r="F58" s="11"/>
      <c r="G58" s="11"/>
      <c r="H58" s="9">
        <f t="shared" si="0"/>
        <v>0</v>
      </c>
      <c r="I58" s="11"/>
    </row>
    <row r="59" spans="1:9" x14ac:dyDescent="0.25">
      <c r="A59" s="13">
        <f>'Summary Sheet'!A58</f>
        <v>447</v>
      </c>
      <c r="B59" s="11" t="str">
        <f>'Summary Sheet'!B58</f>
        <v xml:space="preserve">PATIL SHWETA SACHIN </v>
      </c>
      <c r="C59" s="11"/>
      <c r="D59" s="11"/>
      <c r="E59" s="11"/>
      <c r="F59" s="11"/>
      <c r="G59" s="11"/>
      <c r="H59" s="9">
        <f t="shared" si="0"/>
        <v>0</v>
      </c>
      <c r="I59" s="11"/>
    </row>
    <row r="60" spans="1:9" x14ac:dyDescent="0.25">
      <c r="A60" s="13">
        <f>'Summary Sheet'!A59</f>
        <v>448</v>
      </c>
      <c r="B60" s="11" t="str">
        <f>'Summary Sheet'!B59</f>
        <v>PAWAR BHARGAVI BHUSHAN</v>
      </c>
      <c r="C60" s="11"/>
      <c r="D60" s="11"/>
      <c r="E60" s="11"/>
      <c r="F60" s="11"/>
      <c r="G60" s="11"/>
      <c r="H60" s="9">
        <f t="shared" si="0"/>
        <v>0</v>
      </c>
      <c r="I60" s="11"/>
    </row>
    <row r="61" spans="1:9" x14ac:dyDescent="0.25">
      <c r="A61" s="13">
        <f>'Summary Sheet'!A60</f>
        <v>449</v>
      </c>
      <c r="B61" s="11" t="str">
        <f>'Summary Sheet'!B60</f>
        <v xml:space="preserve">PAWAR  SUVARNA  SURYBHAN </v>
      </c>
      <c r="C61" s="11"/>
      <c r="D61" s="11"/>
      <c r="E61" s="11"/>
      <c r="F61" s="11"/>
      <c r="G61" s="11"/>
      <c r="H61" s="9">
        <f t="shared" si="0"/>
        <v>0</v>
      </c>
      <c r="I61" s="11"/>
    </row>
    <row r="62" spans="1:9" x14ac:dyDescent="0.25">
      <c r="A62" s="13">
        <f>'Summary Sheet'!A61</f>
        <v>450</v>
      </c>
      <c r="B62" s="11" t="str">
        <f>'Summary Sheet'!B61</f>
        <v xml:space="preserve">PHATAK  VEDIKA HEMANT </v>
      </c>
      <c r="C62" s="11"/>
      <c r="D62" s="11"/>
      <c r="E62" s="11"/>
      <c r="F62" s="11"/>
      <c r="G62" s="11"/>
      <c r="H62" s="9">
        <f t="shared" si="0"/>
        <v>0</v>
      </c>
      <c r="I62" s="11"/>
    </row>
    <row r="63" spans="1:9" x14ac:dyDescent="0.25">
      <c r="A63" s="13">
        <f>'Summary Sheet'!A62</f>
        <v>451</v>
      </c>
      <c r="B63" s="11" t="str">
        <f>'Summary Sheet'!B62</f>
        <v xml:space="preserve">PUJARI NIKITA JAKAPPA </v>
      </c>
      <c r="C63" s="11"/>
      <c r="D63" s="11"/>
      <c r="E63" s="11"/>
      <c r="F63" s="11"/>
      <c r="G63" s="11"/>
      <c r="H63" s="9">
        <f t="shared" si="0"/>
        <v>0</v>
      </c>
      <c r="I63" s="11"/>
    </row>
    <row r="64" spans="1:9" x14ac:dyDescent="0.25">
      <c r="A64" s="13">
        <f>'Summary Sheet'!A63</f>
        <v>452</v>
      </c>
      <c r="B64" s="11" t="str">
        <f>'Summary Sheet'!B63</f>
        <v>RENUSE ASHU  RAVINDRA</v>
      </c>
      <c r="C64" s="11"/>
      <c r="D64" s="11"/>
      <c r="E64" s="11"/>
      <c r="F64" s="11"/>
      <c r="G64" s="11"/>
      <c r="H64" s="9">
        <f t="shared" si="0"/>
        <v>0</v>
      </c>
      <c r="I64" s="11"/>
    </row>
    <row r="65" spans="1:9" x14ac:dyDescent="0.25">
      <c r="A65" s="13">
        <f>'Summary Sheet'!A64</f>
        <v>453</v>
      </c>
      <c r="B65" s="11" t="str">
        <f>'Summary Sheet'!B64</f>
        <v>SALUNKE SIDDHI  DATTATRAY</v>
      </c>
      <c r="C65" s="11"/>
      <c r="D65" s="11"/>
      <c r="E65" s="11"/>
      <c r="F65" s="11"/>
      <c r="G65" s="11"/>
      <c r="H65" s="9">
        <f t="shared" si="0"/>
        <v>0</v>
      </c>
      <c r="I65" s="11"/>
    </row>
    <row r="66" spans="1:9" x14ac:dyDescent="0.25">
      <c r="A66" s="13">
        <f>'Summary Sheet'!A65</f>
        <v>454</v>
      </c>
      <c r="B66" s="11" t="str">
        <f>'Summary Sheet'!B65</f>
        <v>PATIL SEJAL MAHESH</v>
      </c>
      <c r="C66" s="11"/>
      <c r="D66" s="11"/>
      <c r="E66" s="11"/>
      <c r="F66" s="11"/>
      <c r="G66" s="11"/>
      <c r="H66" s="9">
        <f t="shared" si="0"/>
        <v>0</v>
      </c>
      <c r="I66" s="11"/>
    </row>
    <row r="67" spans="1:9" x14ac:dyDescent="0.25">
      <c r="A67" s="13">
        <f>'Summary Sheet'!A66</f>
        <v>455</v>
      </c>
      <c r="B67" s="11" t="str">
        <f>'Summary Sheet'!B66</f>
        <v xml:space="preserve">SHAIKH  TEHSEENA  ABDUL RASHID </v>
      </c>
      <c r="C67" s="11"/>
      <c r="D67" s="11"/>
      <c r="E67" s="11"/>
      <c r="F67" s="11"/>
      <c r="G67" s="11"/>
      <c r="H67" s="9">
        <f t="shared" si="0"/>
        <v>0</v>
      </c>
      <c r="I67" s="11"/>
    </row>
    <row r="68" spans="1:9" x14ac:dyDescent="0.25">
      <c r="A68" s="13">
        <f>'Summary Sheet'!A67</f>
        <v>456</v>
      </c>
      <c r="B68" s="11" t="str">
        <f>'Summary Sheet'!B67</f>
        <v xml:space="preserve">SHELKE  TEJASVINI  SANJAY </v>
      </c>
      <c r="C68" s="11"/>
      <c r="D68" s="11"/>
      <c r="E68" s="11"/>
      <c r="F68" s="11"/>
      <c r="G68" s="11"/>
      <c r="H68" s="9">
        <f t="shared" si="0"/>
        <v>0</v>
      </c>
      <c r="I68" s="11"/>
    </row>
    <row r="69" spans="1:9" x14ac:dyDescent="0.25">
      <c r="A69" s="13">
        <f>'Summary Sheet'!A68</f>
        <v>457</v>
      </c>
      <c r="B69" s="11" t="str">
        <f>'Summary Sheet'!B68</f>
        <v xml:space="preserve">SHINDE SAKSHI SANTOSH </v>
      </c>
      <c r="C69" s="11"/>
      <c r="D69" s="11"/>
      <c r="E69" s="11"/>
      <c r="F69" s="11"/>
      <c r="G69" s="11"/>
      <c r="H69" s="9">
        <f t="shared" si="0"/>
        <v>0</v>
      </c>
      <c r="I69" s="11"/>
    </row>
    <row r="70" spans="1:9" x14ac:dyDescent="0.25">
      <c r="A70" s="13">
        <f>'Summary Sheet'!A69</f>
        <v>458</v>
      </c>
      <c r="B70" s="11" t="str">
        <f>'Summary Sheet'!B69</f>
        <v xml:space="preserve">DHADAVE  SHRAVANI PRASHANT </v>
      </c>
      <c r="C70" s="11"/>
      <c r="D70" s="11"/>
      <c r="E70" s="11"/>
      <c r="F70" s="11"/>
      <c r="G70" s="11"/>
      <c r="H70" s="9">
        <f t="shared" si="0"/>
        <v>0</v>
      </c>
      <c r="I70" s="11"/>
    </row>
    <row r="71" spans="1:9" x14ac:dyDescent="0.25">
      <c r="A71" s="13">
        <f>'Summary Sheet'!A70</f>
        <v>459</v>
      </c>
      <c r="B71" s="11" t="str">
        <f>'Summary Sheet'!B70</f>
        <v>JAMDADE SHRAVANI SUNIL</v>
      </c>
      <c r="C71" s="11"/>
      <c r="D71" s="11"/>
      <c r="E71" s="11"/>
      <c r="F71" s="11"/>
      <c r="G71" s="11"/>
      <c r="H71" s="9">
        <f t="shared" si="0"/>
        <v>0</v>
      </c>
      <c r="I71" s="11"/>
    </row>
    <row r="72" spans="1:9" x14ac:dyDescent="0.25">
      <c r="A72" s="13">
        <f>'Summary Sheet'!A71</f>
        <v>460</v>
      </c>
      <c r="B72" s="11" t="str">
        <f>'Summary Sheet'!B71</f>
        <v xml:space="preserve">SIDAM  SHRAVANI  TUKARAM </v>
      </c>
      <c r="C72" s="11"/>
      <c r="D72" s="11"/>
      <c r="E72" s="11"/>
      <c r="F72" s="11"/>
      <c r="G72" s="11"/>
      <c r="H72" s="9">
        <f t="shared" si="0"/>
        <v>0</v>
      </c>
      <c r="I72" s="11"/>
    </row>
    <row r="73" spans="1:9" x14ac:dyDescent="0.25">
      <c r="A73" s="13">
        <f>'Summary Sheet'!A72</f>
        <v>461</v>
      </c>
      <c r="B73" s="11" t="str">
        <f>'Summary Sheet'!B72</f>
        <v xml:space="preserve">SUKALE  ESHAWARI  SUNIL </v>
      </c>
      <c r="C73" s="11"/>
      <c r="D73" s="11"/>
      <c r="E73" s="11"/>
      <c r="F73" s="11"/>
      <c r="G73" s="11"/>
      <c r="H73" s="9">
        <f t="shared" si="0"/>
        <v>0</v>
      </c>
      <c r="I73" s="11"/>
    </row>
    <row r="74" spans="1:9" x14ac:dyDescent="0.25">
      <c r="A74" s="13">
        <f>'Summary Sheet'!A73</f>
        <v>462</v>
      </c>
      <c r="B74" s="11" t="str">
        <f>'Summary Sheet'!B73</f>
        <v xml:space="preserve">RAJOLE TANAYAA BHALCHANDRA </v>
      </c>
      <c r="C74" s="11"/>
      <c r="D74" s="11"/>
      <c r="E74" s="11"/>
      <c r="F74" s="11"/>
      <c r="G74" s="11"/>
      <c r="H74" s="9">
        <f t="shared" si="0"/>
        <v>0</v>
      </c>
      <c r="I74" s="11"/>
    </row>
    <row r="75" spans="1:9" x14ac:dyDescent="0.25">
      <c r="A75" s="13">
        <f>'Summary Sheet'!A74</f>
        <v>463</v>
      </c>
      <c r="B75" s="11" t="str">
        <f>'Summary Sheet'!B74</f>
        <v>TANDEKAR VANSHIKA BHIVDAS</v>
      </c>
      <c r="C75" s="11"/>
      <c r="D75" s="11"/>
      <c r="E75" s="11"/>
      <c r="F75" s="11"/>
      <c r="G75" s="11"/>
      <c r="H75" s="9">
        <f t="shared" si="0"/>
        <v>0</v>
      </c>
      <c r="I75" s="11"/>
    </row>
    <row r="76" spans="1:9" x14ac:dyDescent="0.25">
      <c r="A76" s="13">
        <f>'Summary Sheet'!A75</f>
        <v>464</v>
      </c>
      <c r="B76" s="11" t="str">
        <f>'Summary Sheet'!B75</f>
        <v xml:space="preserve">TARALKAR  MRUDULA  PANKAJ </v>
      </c>
      <c r="C76" s="11"/>
      <c r="D76" s="11"/>
      <c r="E76" s="11"/>
      <c r="F76" s="11"/>
      <c r="G76" s="11"/>
      <c r="H76" s="9">
        <f t="shared" ref="H76:H81" si="1">SUM(C76:G76)</f>
        <v>0</v>
      </c>
      <c r="I76" s="11"/>
    </row>
    <row r="77" spans="1:9" x14ac:dyDescent="0.25">
      <c r="A77" s="13">
        <f>'Summary Sheet'!A76</f>
        <v>465</v>
      </c>
      <c r="B77" s="11" t="str">
        <f>'Summary Sheet'!B76</f>
        <v>TAVHARE RIYA NAWNATH</v>
      </c>
      <c r="C77" s="11"/>
      <c r="D77" s="11"/>
      <c r="E77" s="11"/>
      <c r="F77" s="11"/>
      <c r="G77" s="11"/>
      <c r="H77" s="9">
        <f t="shared" si="1"/>
        <v>0</v>
      </c>
      <c r="I77" s="11"/>
    </row>
    <row r="78" spans="1:9" x14ac:dyDescent="0.25">
      <c r="A78" s="13">
        <f>'Summary Sheet'!A77</f>
        <v>466</v>
      </c>
      <c r="B78" s="11" t="str">
        <f>'Summary Sheet'!B77</f>
        <v xml:space="preserve">TODKAR GUNJAN  MANOJ </v>
      </c>
      <c r="C78" s="11"/>
      <c r="D78" s="11"/>
      <c r="E78" s="11"/>
      <c r="F78" s="11"/>
      <c r="G78" s="11"/>
      <c r="H78" s="9">
        <f t="shared" si="1"/>
        <v>0</v>
      </c>
      <c r="I78" s="11"/>
    </row>
    <row r="79" spans="1:9" x14ac:dyDescent="0.25">
      <c r="A79" s="13">
        <f>'Summary Sheet'!A78</f>
        <v>467</v>
      </c>
      <c r="B79" s="11" t="str">
        <f>'Summary Sheet'!B78</f>
        <v xml:space="preserve">VAISHNAV  SAMIKSHA PANKAJ </v>
      </c>
      <c r="C79" s="11"/>
      <c r="D79" s="11"/>
      <c r="E79" s="11"/>
      <c r="F79" s="11"/>
      <c r="G79" s="11"/>
      <c r="H79" s="9">
        <f t="shared" si="1"/>
        <v>0</v>
      </c>
      <c r="I79" s="11"/>
    </row>
    <row r="80" spans="1:9" x14ac:dyDescent="0.25">
      <c r="A80" s="13">
        <f>'Summary Sheet'!A79</f>
        <v>468</v>
      </c>
      <c r="B80" s="11" t="str">
        <f>'Summary Sheet'!B79</f>
        <v xml:space="preserve">AGRAWAL  YUKTI  NILESH </v>
      </c>
      <c r="C80" s="11"/>
      <c r="D80" s="11"/>
      <c r="E80" s="11"/>
      <c r="F80" s="11"/>
      <c r="G80" s="11"/>
      <c r="H80" s="9">
        <f t="shared" si="1"/>
        <v>0</v>
      </c>
      <c r="I80" s="11"/>
    </row>
    <row r="81" spans="1:9" x14ac:dyDescent="0.25">
      <c r="A81" s="13">
        <f>'Summary Sheet'!A80</f>
        <v>469</v>
      </c>
      <c r="B81" s="11" t="str">
        <f>'Summary Sheet'!B80</f>
        <v>GENDEWAD VEDIKA SHIVAJI</v>
      </c>
      <c r="C81" s="11"/>
      <c r="D81" s="11"/>
      <c r="E81" s="11"/>
      <c r="F81" s="11"/>
      <c r="G81" s="11"/>
      <c r="H81" s="9">
        <f t="shared" si="1"/>
        <v>0</v>
      </c>
      <c r="I81" s="11"/>
    </row>
  </sheetData>
  <mergeCells count="5">
    <mergeCell ref="C8:G8"/>
    <mergeCell ref="H8:H10"/>
    <mergeCell ref="I8:I10"/>
    <mergeCell ref="C10:D10"/>
    <mergeCell ref="E10:F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 Sheet</vt:lpstr>
      <vt:lpstr>Engg Mathematics</vt:lpstr>
      <vt:lpstr>Engg. Physics</vt:lpstr>
      <vt:lpstr>Basic Electrical</vt:lpstr>
      <vt:lpstr>Engg. Mechanics</vt:lpstr>
      <vt:lpstr>FPL</vt:lpstr>
      <vt:lpstr>'Basic Electrical'!Print_Titles</vt:lpstr>
      <vt:lpstr>'Engg Mathematics'!Print_Titles</vt:lpstr>
      <vt:lpstr>'Engg. Mechanics'!Print_Titles</vt:lpstr>
      <vt:lpstr>'Engg. Physics'!Print_Titles</vt:lpstr>
      <vt:lpstr>FPL!Print_Titles</vt:lpstr>
      <vt:lpstr>'Summary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2024-12-12T10:06:50Z</cp:lastPrinted>
  <dcterms:created xsi:type="dcterms:W3CDTF">2024-12-12T09:38:39Z</dcterms:created>
  <dcterms:modified xsi:type="dcterms:W3CDTF">2024-12-12T10:15:09Z</dcterms:modified>
</cp:coreProperties>
</file>